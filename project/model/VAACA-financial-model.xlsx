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ricing" sheetId="3" state="visible" r:id="rId5"/>
    <sheet name="Customers" sheetId="4" state="visible" r:id="rId6"/>
    <sheet name="Revenue" sheetId="5" state="visible" r:id="rId7"/>
    <sheet name="Staffing" sheetId="6" state="visible" r:id="rId8"/>
    <sheet name="Costs" sheetId="7" state="visible" r:id="rId9"/>
    <sheet name="P&amp;L" sheetId="8" state="visible" r:id="rId10"/>
    <sheet name="Cash Flow Monthly" sheetId="9" state="visible" r:id="rId11"/>
    <sheet name="Unit Economics" sheetId="10" state="visible" r:id="rId12"/>
    <sheet name="Revenue Mix" sheetId="11" state="visible" r:id="rId13"/>
    <sheet name="Product Scoring" sheetId="12" state="visible" r:id="rId14"/>
    <sheet name="Entity Spli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<sst xmlns="http://schemas.openxmlformats.org/spreadsheetml/2006/main" count="865" uniqueCount="395">
  <si>
    <t xml:space="preserve">VAACA — Five-year financial model</t>
  </si>
  <si>
    <t xml:space="preserve">Built from the Revenue, Business Model &amp; Institutional Sustainability specification.</t>
  </si>
  <si>
    <t xml:space="preserve">What this is</t>
  </si>
  <si>
    <t xml:space="preserve">A driver-based model: every figure in it comes from a unit count multiplied by a price, or from a</t>
  </si>
  <si>
    <t xml:space="preserve">cost driver. Nothing is typed in as a result. Change a count on Customers or a price on Pricing and</t>
  </si>
  <si>
    <t xml:space="preserve">the whole model moves, including the monthly cash flow.</t>
  </si>
  <si>
    <t xml:space="preserve">What it is not</t>
  </si>
  <si>
    <t xml:space="preserve">A forecast. The specification calls its revenue figures planning scenarios, and so are these. The</t>
  </si>
  <si>
    <t xml:space="preserve">model's job is to show what would have to be true for each year's target to be met — how many</t>
  </si>
  <si>
    <t xml:space="preserve">members, how many delegates, how many engagements — and what it costs to deliver them.</t>
  </si>
  <si>
    <t xml:space="preserve">Where to start</t>
  </si>
  <si>
    <t xml:space="preserve">1. Assumptions!B4 — pick Conservative, Base or Aggressive. Everything downstream follows.</t>
  </si>
  <si>
    <t xml:space="preserve">2. Customers — the base-case unit counts. These are the real assumptions in the model.</t>
  </si>
  <si>
    <t xml:space="preserve">3. Pricing — one price per product, each traced to the paragraph of the specification it came from.</t>
  </si>
  <si>
    <t xml:space="preserve">4. Cash Flow Monthly — the number that matters most in year one is the lowest point, not the total.</t>
  </si>
  <si>
    <t xml:space="preserve">Colour convention</t>
  </si>
  <si>
    <t xml:space="preserve">Blue text is an input you may change. Black is a formula. Green is a link to another sheet.</t>
  </si>
  <si>
    <t xml:space="preserve">Yellow fill marks the assumptions that move the answer most.</t>
  </si>
  <si>
    <t xml:space="preserve">Currency</t>
  </si>
  <si>
    <t xml:space="preserve">All figures are XAF. The XAF is pegged to the euro at 655.957, so divide by 656 for a euro figure.</t>
  </si>
  <si>
    <t xml:space="preserve">Three things to read before using the numbers</t>
  </si>
  <si>
    <t xml:space="preserve">1. VAACA has no members today, and both secretariat posts are vacant. Year 1 of this model assumes</t>
  </si>
  <si>
    <t xml:space="preserve">   247 paying members, six strategic partners and a 250-delegate forum. That is a standing start.</t>
  </si>
  <si>
    <t xml:space="preserve">2. Four of the ten engines — intelligence, data, platform and most of certification — depend on</t>
  </si>
  <si>
    <t xml:space="preserve">   platform modules that are not built. Their revenue is zero in Year 1 for that reason.</t>
  </si>
  <si>
    <t xml:space="preserve">3. The model charges nothing for the capital needed to reach break-even. Read the lowest cumulative</t>
  </si>
  <si>
    <t xml:space="preserve">   cash figure on Cash Flow Monthly as the amount that must be raised before any of this starts.</t>
  </si>
  <si>
    <t xml:space="preserve">Assumptions</t>
  </si>
  <si>
    <t xml:space="preserve">Blue cells are inputs. Yellow fill marks the ones that move the answer most.</t>
  </si>
  <si>
    <t xml:space="preserve">Scenario</t>
  </si>
  <si>
    <t xml:space="preserve">Base</t>
  </si>
  <si>
    <t xml:space="preserve">← pick one; every sheet follows it</t>
  </si>
  <si>
    <t xml:space="preserve">Scenario multipliers on unit counts</t>
  </si>
  <si>
    <t xml:space="preserve">Conservative</t>
  </si>
  <si>
    <t xml:space="preserve">Aggressive</t>
  </si>
  <si>
    <t xml:space="preserve">Active</t>
  </si>
  <si>
    <t xml:space="preserve">Year 1</t>
  </si>
  <si>
    <t xml:space="preserve">Conservative holds Year 1 nearly flat and slows every later year; Aggressive assumes the</t>
  </si>
  <si>
    <t xml:space="preserve">Year 2</t>
  </si>
  <si>
    <t xml:space="preserve">network compounds. Year 1 moves least because its counts are closest to being committed.</t>
  </si>
  <si>
    <t xml:space="preserve">Year 3</t>
  </si>
  <si>
    <t xml:space="preserve">Year 4</t>
  </si>
  <si>
    <t xml:space="preserve">Year 5</t>
  </si>
  <si>
    <t xml:space="preserve">Active multiplier by year</t>
  </si>
  <si>
    <t xml:space="preserve">Cost drivers</t>
  </si>
  <si>
    <t xml:space="preserve">Driver</t>
  </si>
  <si>
    <t xml:space="preserve">Unit</t>
  </si>
  <si>
    <t xml:space="preserve">Education delivery cost</t>
  </si>
  <si>
    <t xml:space="preserve">% of education revenue</t>
  </si>
  <si>
    <t xml:space="preserve">Certification delivery cost</t>
  </si>
  <si>
    <t xml:space="preserve">% of certification revenue</t>
  </si>
  <si>
    <t xml:space="preserve">Events delivery cost</t>
  </si>
  <si>
    <t xml:space="preserve">% of events revenue</t>
  </si>
  <si>
    <t xml:space="preserve">Advisory delivery cost</t>
  </si>
  <si>
    <t xml:space="preserve">% of advisory revenue</t>
  </si>
  <si>
    <t xml:space="preserve">Research production cost</t>
  </si>
  <si>
    <t xml:space="preserve">% of research revenue</t>
  </si>
  <si>
    <t xml:space="preserve">Marketing and outreach</t>
  </si>
  <si>
    <t xml:space="preserve">% of total revenue</t>
  </si>
  <si>
    <t xml:space="preserve">Technology and platform</t>
  </si>
  <si>
    <t xml:space="preserve">XAF</t>
  </si>
  <si>
    <t xml:space="preserve">Legal, audit and compliance</t>
  </si>
  <si>
    <t xml:space="preserve">Administration and premises</t>
  </si>
  <si>
    <t xml:space="preserve">Travel and representation</t>
  </si>
  <si>
    <t xml:space="preserve">National chapters</t>
  </si>
  <si>
    <t xml:space="preserve">Working capital</t>
  </si>
  <si>
    <t xml:space="preserve">Value</t>
  </si>
  <si>
    <t xml:space="preserve">Note</t>
  </si>
  <si>
    <t xml:space="preserve">Opening cash</t>
  </si>
  <si>
    <t xml:space="preserve">Founding capital in hand on day one. Zero until it is raised.</t>
  </si>
  <si>
    <t xml:space="preserve">Collection lag</t>
  </si>
  <si>
    <t xml:space="preserve">months</t>
  </si>
  <si>
    <t xml:space="preserve">Institutional invoices are not paid in the month they are issued.</t>
  </si>
  <si>
    <t xml:space="preserve">Employer charges</t>
  </si>
  <si>
    <t xml:space="preserve">% of salary</t>
  </si>
  <si>
    <t xml:space="preserve">On top of gross salary, applied on the Staffing sheet.</t>
  </si>
  <si>
    <t xml:space="preserve">Revenue phasing within the year</t>
  </si>
  <si>
    <t xml:space="preserve">The share of each engine's annual revenue that lands in each month. Events are the reason this matters: one forum carries a year of sponsorship.</t>
  </si>
  <si>
    <t xml:space="preserve">Engine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</si>
  <si>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</si>
  <si>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</si>
  <si>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</si>
  <si>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</si>
  <si>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</si>
  <si>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</si>
  <si>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</si>
  <si>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</si>
  <si>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</si>
  <si>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</si>
  <si>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</si>
  <si>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</si>
  <si>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Check</t>
  </si>
  <si>
    <t xml:space="preserve">Membership</t>
  </si>
  <si>
    <t xml:space="preserve">Strategic partnerships</t>
  </si>
  <si>
    <t xml:space="preserve">Professional education</t>
  </si>
  <si>
    <t xml:space="preserve">Certification</t>
  </si>
  <si>
    <t xml:space="preserve">Research</t>
  </si>
  <si>
    <t xml:space="preserve">Intelligence</t>
  </si>
  <si>
    <t xml:space="preserve">Events</t>
  </si>
  <si>
    <t xml:space="preserve">Advisory</t>
  </si>
  <si>
    <t xml:space="preserve">Data products</t>
  </si>
  <si>
    <t xml:space="preserve">Platform services</t>
  </si>
  <si>
    <t xml:space="preserve">Each row must total 100%.</t>
  </si>
  <si>
    <t xml:space="preserve">Pricing</t>
  </si>
  <si>
    <t xml:space="preserve">One price per product. Every basis cites the paragraph of the specification it came from.</t>
  </si>
  <si>
    <t xml:space="preserve">Code</t>
  </si>
  <si>
    <t xml:space="preserve">Product</t>
  </si>
  <si>
    <t xml:space="preserve">Price (XAF)</t>
  </si>
  <si>
    <t xml:space="preserve">Basis</t>
  </si>
  <si>
    <t xml:space="preserve">Individual member</t>
  </si>
  <si>
    <t xml:space="preserve">Mid-point of the 25,000–50,000 band (§6)</t>
  </si>
  <si>
    <t xml:space="preserve">Professional member</t>
  </si>
  <si>
    <t xml:space="preserve">Mid-point of 100,000–250,000 (§6)</t>
  </si>
  <si>
    <t xml:space="preserve">SME member</t>
  </si>
  <si>
    <t xml:space="preserve">Mid-point of 250,000–500,000 (§6)</t>
  </si>
  <si>
    <t xml:space="preserve">Corporate member</t>
  </si>
  <si>
    <t xml:space="preserve">Mid-point of 750,000–2,000,000 (§6)</t>
  </si>
  <si>
    <t xml:space="preserve">Institutional member</t>
  </si>
  <si>
    <t xml:space="preserve">Mid-point of 1.5M–5M (§6)</t>
  </si>
  <si>
    <t xml:space="preserve">Strategic institutional partner (membership)</t>
  </si>
  <si>
    <t xml:space="preserve">Lower half of 5M–25M (§6)</t>
  </si>
  <si>
    <t xml:space="preserve">P1</t>
  </si>
  <si>
    <t xml:space="preserve">Founding partner</t>
  </si>
  <si>
    <t xml:space="preserve">Founding tier within the 500,000–100M range (§8)</t>
  </si>
  <si>
    <t xml:space="preserve">P2</t>
  </si>
  <si>
    <t xml:space="preserve">Regional strategic partner</t>
  </si>
  <si>
    <t xml:space="preserve">Regional tier (§8)</t>
  </si>
  <si>
    <t xml:space="preserve">P3</t>
  </si>
  <si>
    <t xml:space="preserve">Programme partner</t>
  </si>
  <si>
    <t xml:space="preserve">Programme tier (§8)</t>
  </si>
  <si>
    <t xml:space="preserve">E1</t>
  </si>
  <si>
    <t xml:space="preserve">Open-enrolment seat</t>
  </si>
  <si>
    <t xml:space="preserve">Mid-point of 500,000–1.5M per person (§12)</t>
  </si>
  <si>
    <t xml:space="preserve">E2</t>
  </si>
  <si>
    <t xml:space="preserve">Corporate cohort</t>
  </si>
  <si>
    <t xml:space="preserve">Mid-point of 5M–20M per cohort (§12)</t>
  </si>
  <si>
    <t xml:space="preserve">E3</t>
  </si>
  <si>
    <t xml:space="preserve">Institutional programme</t>
  </si>
  <si>
    <t xml:space="preserve">Lower half of 10M–50M+ (§12)</t>
  </si>
  <si>
    <t xml:space="preserve">C1</t>
  </si>
  <si>
    <t xml:space="preserve">Certification candidate (registration, exam, award)</t>
  </si>
  <si>
    <t xml:space="preserve">Registration, examination and award combined (§14)</t>
  </si>
  <si>
    <t xml:space="preserve">C2</t>
  </si>
  <si>
    <t xml:space="preserve">Annual certification renewal</t>
  </si>
  <si>
    <t xml:space="preserve">Annual maintenance (§14)</t>
  </si>
  <si>
    <t xml:space="preserve">C3</t>
  </si>
  <si>
    <t xml:space="preserve">Corporate certification programme</t>
  </si>
  <si>
    <t xml:space="preserve">Corporate programme (§14)</t>
  </si>
  <si>
    <t xml:space="preserve">R1</t>
  </si>
  <si>
    <t xml:space="preserve">Premium report</t>
  </si>
  <si>
    <t xml:space="preserve">Lower half of 500,000–5M (§16)</t>
  </si>
  <si>
    <t xml:space="preserve">R2</t>
  </si>
  <si>
    <t xml:space="preserve">Enterprise research licence</t>
  </si>
  <si>
    <t xml:space="preserve">Mid-point of 3M–15M enterprise licence (§16)</t>
  </si>
  <si>
    <t xml:space="preserve">R3</t>
  </si>
  <si>
    <t xml:space="preserve">Custom research project</t>
  </si>
  <si>
    <t xml:space="preserve">Lower quartile of 10M–100M+ custom (§16)</t>
  </si>
  <si>
    <t xml:space="preserve">I1</t>
  </si>
  <si>
    <t xml:space="preserve">Intelligence — Basic</t>
  </si>
  <si>
    <t xml:space="preserve">§18 Basic</t>
  </si>
  <si>
    <t xml:space="preserve">I2</t>
  </si>
  <si>
    <t xml:space="preserve">Intelligence — Professional</t>
  </si>
  <si>
    <t xml:space="preserve">§18 Professional</t>
  </si>
  <si>
    <t xml:space="preserve">I3</t>
  </si>
  <si>
    <t xml:space="preserve">Intelligence — Enterprise</t>
  </si>
  <si>
    <t xml:space="preserve">Mid-point of §18 Enterprise 2M–5M</t>
  </si>
  <si>
    <t xml:space="preserve">I4</t>
  </si>
  <si>
    <t xml:space="preserve">Intelligence — Institutional</t>
  </si>
  <si>
    <t xml:space="preserve">Mid-point of §18 Institutional 5M–15M</t>
  </si>
  <si>
    <t xml:space="preserve">I5</t>
  </si>
  <si>
    <t xml:space="preserve">Intelligence — Strategic</t>
  </si>
  <si>
    <t xml:space="preserve">Lower bound of §18 Strategic 15M–50M+</t>
  </si>
  <si>
    <t xml:space="preserve">V1</t>
  </si>
  <si>
    <t xml:space="preserve">Forum delegate</t>
  </si>
  <si>
    <t xml:space="preserve">Delegate fee; not priced in the specification</t>
  </si>
  <si>
    <t xml:space="preserve">V2</t>
  </si>
  <si>
    <t xml:space="preserve">Platinum sponsor</t>
  </si>
  <si>
    <t xml:space="preserve">§21 Platinum 10M–25M, lower bound</t>
  </si>
  <si>
    <t xml:space="preserve">V3</t>
  </si>
  <si>
    <t xml:space="preserve">Gold sponsor</t>
  </si>
  <si>
    <t xml:space="preserve">§21 Gold 5M–10M, mid-point</t>
  </si>
  <si>
    <t xml:space="preserve">V4</t>
  </si>
  <si>
    <t xml:space="preserve">Silver sponsor</t>
  </si>
  <si>
    <t xml:space="preserve">§21 Silver 2M–5M, mid-point</t>
  </si>
  <si>
    <t xml:space="preserve">A1</t>
  </si>
  <si>
    <t xml:space="preserve">Advisory — diagnostic</t>
  </si>
  <si>
    <t xml:space="preserve">Mid-point of §23 Diagnostic 2M–10M</t>
  </si>
  <si>
    <t xml:space="preserve">A2</t>
  </si>
  <si>
    <t xml:space="preserve">Advisory — strategic engagement</t>
  </si>
  <si>
    <t xml:space="preserve">Mid-point of §23 Strategic 10M–50M</t>
  </si>
  <si>
    <t xml:space="preserve">A3</t>
  </si>
  <si>
    <t xml:space="preserve">Advisory — institutional transformation</t>
  </si>
  <si>
    <t xml:space="preserve">Lower third of §23 Transformation 50M–250M+</t>
  </si>
  <si>
    <t xml:space="preserve">D1</t>
  </si>
  <si>
    <t xml:space="preserve">Database subscription</t>
  </si>
  <si>
    <t xml:space="preserve">Not priced in the specification; set against §18 Basic</t>
  </si>
  <si>
    <t xml:space="preserve">D2</t>
  </si>
  <si>
    <t xml:space="preserve">Enterprise data licence</t>
  </si>
  <si>
    <t xml:space="preserve">§25 enterprise licensing</t>
  </si>
  <si>
    <t xml:space="preserve">D3</t>
  </si>
  <si>
    <t xml:space="preserve">API / data feed</t>
  </si>
  <si>
    <t xml:space="preserve">§25 API access</t>
  </si>
  <si>
    <t xml:space="preserve">L1</t>
  </si>
  <si>
    <t xml:space="preserve">Platform premium seat</t>
  </si>
  <si>
    <t xml:space="preserve">§27 premium tier</t>
  </si>
  <si>
    <t xml:space="preserve">L2</t>
  </si>
  <si>
    <t xml:space="preserve">Platform enterprise workspace</t>
  </si>
  <si>
    <t xml:space="preserve">§27 enterprise tier</t>
  </si>
  <si>
    <t xml:space="preserve">Unit counts</t>
  </si>
  <si>
    <t xml:space="preserve">The base case is the real assumption set. The right-hand block applies the scenario.</t>
  </si>
  <si>
    <t xml:space="preserve">Base Year 1</t>
  </si>
  <si>
    <t xml:space="preserve">Base Year 2</t>
  </si>
  <si>
    <t xml:space="preserve">Base Year 3</t>
  </si>
  <si>
    <t xml:space="preserve">Base Year 4</t>
  </si>
  <si>
    <t xml:space="preserve">Base Year 5</t>
  </si>
  <si>
    <t xml:space="preserve">Scenario Year 1</t>
  </si>
  <si>
    <t xml:space="preserve">Scenario Year 2</t>
  </si>
  <si>
    <t xml:space="preserve">Scenario Year 3</t>
  </si>
  <si>
    <t xml:space="preserve">Scenario Year 4</t>
  </si>
  <si>
    <t xml:space="preserve">Scenario Year 5</t>
  </si>
  <si>
    <t xml:space="preserve">Counts are annual: a member counted in Year 2 is a member that year, renewed or new.</t>
  </si>
  <si>
    <t xml:space="preserve">Zero in Year 1 means the product does not exist yet — see the README.</t>
  </si>
  <si>
    <t xml:space="preserve">Revenue (XAF)</t>
  </si>
  <si>
    <t xml:space="preserve">Unit count × price. Nothing here is typed in.</t>
  </si>
  <si>
    <t xml:space="preserve">Delivered by</t>
  </si>
  <si>
    <t xml:space="preserve">VAACA</t>
  </si>
  <si>
    <t xml:space="preserve">IAFN</t>
  </si>
  <si>
    <t xml:space="preserve">By engine</t>
  </si>
  <si>
    <t xml:space="preserve">Total revenue</t>
  </si>
  <si>
    <t xml:space="preserve">Specification planning target</t>
  </si>
  <si>
    <t xml:space="preserve">Variance to target</t>
  </si>
  <si>
    <t xml:space="preserve">Targets are §41 and §65–68 of the specification, which calls them planning scenarios rather than forecasts.</t>
  </si>
  <si>
    <t xml:space="preserve">VAACA is a non-profit and keeps what a non-profit does: its own dues, the forums it convenes, and the licensing of research and intelligence it produced itself. IAFN delivers the services — education, certification, advisory and commissioned research — which is the mandate it already holds as a founding member.</t>
  </si>
  <si>
    <t xml:space="preserve">Staffing</t>
  </si>
  <si>
    <t xml:space="preserve">Headcount by role. Fully loaded cost adds employer charges from the Assumptions sheet.</t>
  </si>
  <si>
    <t xml:space="preserve">Role</t>
  </si>
  <si>
    <t xml:space="preserve">Gross annual salary (XAF)</t>
  </si>
  <si>
    <t xml:space="preserve">Heads Year 1</t>
  </si>
  <si>
    <t xml:space="preserve">Heads Year 2</t>
  </si>
  <si>
    <t xml:space="preserve">Heads Year 3</t>
  </si>
  <si>
    <t xml:space="preserve">Heads Year 4</t>
  </si>
  <si>
    <t xml:space="preserve">Heads Year 5</t>
  </si>
  <si>
    <t xml:space="preserve">Cost Year 1</t>
  </si>
  <si>
    <t xml:space="preserve">Cost Year 2</t>
  </si>
  <si>
    <t xml:space="preserve">Cost Year 3</t>
  </si>
  <si>
    <t xml:space="preserve">Cost Year 4</t>
  </si>
  <si>
    <t xml:space="preserve">Cost Year 5</t>
  </si>
  <si>
    <t xml:space="preserve">Entity</t>
  </si>
  <si>
    <t xml:space="preserve">Secretary General</t>
  </si>
  <si>
    <t xml:space="preserve">Standards &amp; Assessment Officer</t>
  </si>
  <si>
    <t xml:space="preserve">Research lead</t>
  </si>
  <si>
    <t xml:space="preserve">Education lead</t>
  </si>
  <si>
    <t xml:space="preserve">Membership &amp; partnerships lead</t>
  </si>
  <si>
    <t xml:space="preserve">Finance &amp; administration</t>
  </si>
  <si>
    <t xml:space="preserve">Intelligence lead</t>
  </si>
  <si>
    <t xml:space="preserve">Events manager</t>
  </si>
  <si>
    <t xml:space="preserve">Research analyst</t>
  </si>
  <si>
    <t xml:space="preserve">Platform engineer</t>
  </si>
  <si>
    <t xml:space="preserve">Programme officer</t>
  </si>
  <si>
    <t xml:space="preserve">Chapter coordinator</t>
  </si>
  <si>
    <t xml:space="preserve">Total headcount</t>
  </si>
  <si>
    <t xml:space="preserve">Personnel cost →</t>
  </si>
  <si>
    <t xml:space="preserve">Salaries are planning figures for Yaoundé, not offers. Both Year 1 posts are currently vacant.</t>
  </si>
  <si>
    <t xml:space="preserve">IAFN's own staffing is outside this model. Only the post VAACA would otherwise carry and no longer needs is marked — the education lead.</t>
  </si>
  <si>
    <t xml:space="preserve">Costs (XAF)</t>
  </si>
  <si>
    <t xml:space="preserve">Delivery costs scale with the revenue they deliver; the rest are planned directly.</t>
  </si>
  <si>
    <t xml:space="preserve">Cost line</t>
  </si>
  <si>
    <t xml:space="preserve">Personnel</t>
  </si>
  <si>
    <t xml:space="preserve">Staffing sheet</t>
  </si>
  <si>
    <t xml:space="preserve">Education delivery</t>
  </si>
  <si>
    <t xml:space="preserve">Certification delivery</t>
  </si>
  <si>
    <t xml:space="preserve">Events delivery</t>
  </si>
  <si>
    <t xml:space="preserve">Advisory delivery</t>
  </si>
  <si>
    <t xml:space="preserve">Research production</t>
  </si>
  <si>
    <t xml:space="preserve">planned</t>
  </si>
  <si>
    <t xml:space="preserve">Total costs</t>
  </si>
  <si>
    <t xml:space="preserve">of which direct delivery</t>
  </si>
  <si>
    <t xml:space="preserve">Operating result (XAF)</t>
  </si>
  <si>
    <t xml:space="preserve">Revenue, what it costs to deliver, and what is left to run the institution.</t>
  </si>
  <si>
    <t xml:space="preserve">Revenue</t>
  </si>
  <si>
    <t xml:space="preserve">Direct delivery cost</t>
  </si>
  <si>
    <t xml:space="preserve">Gross surplus</t>
  </si>
  <si>
    <t xml:space="preserve">Gross margin</t>
  </si>
  <si>
    <t xml:space="preserve">Other operating costs</t>
  </si>
  <si>
    <t xml:space="preserve">Operating surplus</t>
  </si>
  <si>
    <t xml:space="preserve">Operating margin</t>
  </si>
  <si>
    <t xml:space="preserve">Recurring revenue</t>
  </si>
  <si>
    <t xml:space="preserve">Recurring share of revenue</t>
  </si>
  <si>
    <t xml:space="preserve">Revenue per employee</t>
  </si>
  <si>
    <t xml:space="preserve">Public-interest reinvestment</t>
  </si>
  <si>
    <t xml:space="preserve">Reinvested share of surplus</t>
  </si>
  <si>
    <t xml:space="preserve">Reinvestment in public-interest programmes</t>
  </si>
  <si>
    <t xml:space="preserve">Result after reinvestment</t>
  </si>
  <si>
    <t xml:space="preserve">A 40% operating surplus is not a target. For an institution of this kind it is headroom, and §38 and §81 say what it is for: subsidised civil-society and student membership, scholarships, financial-literacy and consumer-protection programmes, and the research that nobody will sponsor. Left unspent it would be a signal that the institution is under-investing in the public-interest half of its mandate.</t>
  </si>
  <si>
    <t xml:space="preserve">Monthly cash flow (XAF)</t>
  </si>
  <si>
    <t xml:space="preserve">Sixty months. The figure that matters is the lowest cumulative balance, not the total.</t>
  </si>
  <si>
    <t xml:space="preserve">Month</t>
  </si>
  <si>
    <t xml:space="preserve">Year</t>
  </si>
  <si>
    <t xml:space="preserve">Month of year</t>
  </si>
  <si>
    <t xml:space="preserve">Revenue earned</t>
  </si>
  <si>
    <t xml:space="preserve">Receipts and payments</t>
  </si>
  <si>
    <t xml:space="preserve">Cash received</t>
  </si>
  <si>
    <t xml:space="preserve">Delivery costs</t>
  </si>
  <si>
    <t xml:space="preserve">Personnel and overheads</t>
  </si>
  <si>
    <t xml:space="preserve">Net cash movement</t>
  </si>
  <si>
    <t xml:space="preserve">Closing cash</t>
  </si>
  <si>
    <t xml:space="preserve">What this says</t>
  </si>
  <si>
    <t xml:space="preserve">Lowest cumulative cash</t>
  </si>
  <si>
    <t xml:space="preserve">Working capital that must be in place before Month 1, if opening cash is zero.</t>
  </si>
  <si>
    <t xml:space="preserve">Month it occurs</t>
  </si>
  <si>
    <t xml:space="preserve">First month cash-positive</t>
  </si>
  <si>
    <t xml:space="preserve">Year 1 cash collected</t>
  </si>
  <si>
    <t xml:space="preserve">Year 1 cash spent</t>
  </si>
  <si>
    <t xml:space="preserve">Unit economics by engine</t>
  </si>
  <si>
    <t xml:space="preserve">Measured at Year 3, once each engine is running. Acquisition cost and renewal are inputs; the rest follow.</t>
  </si>
  <si>
    <t xml:space="preserve">Units (Y3)</t>
  </si>
  <si>
    <t xml:space="preserve">Revenue (Y3)</t>
  </si>
  <si>
    <t xml:space="preserve">Average contract value</t>
  </si>
  <si>
    <t xml:space="preserve">Acquisition cost</t>
  </si>
  <si>
    <t xml:space="preserve">Annual renewal</t>
  </si>
  <si>
    <t xml:space="preserve">Lifetime value</t>
  </si>
  <si>
    <t xml:space="preserve">Payback (months)</t>
  </si>
  <si>
    <t xml:space="preserve">Recurring?</t>
  </si>
  <si>
    <t xml:space="preserve">Yes</t>
  </si>
  <si>
    <t xml:space="preserve">Partly</t>
  </si>
  <si>
    <t xml:space="preserve">No</t>
  </si>
  <si>
    <t xml:space="preserve">Yes (renewal)</t>
  </si>
  <si>
    <t xml:space="preserve">Gross margin here is revenue less the delivery cost that scales with it. Engines with no delivery line — membership, partnerships, intelligence, data, platform — read 100%, which is true only in the sense that their cost sits in personnel and technology rather than in a per-unit charge.</t>
  </si>
  <si>
    <t xml:space="preserve">Revenue mix and concentration</t>
  </si>
  <si>
    <t xml:space="preserve">Share of revenue by engine, against the mature mix the specification sets in §39.</t>
  </si>
  <si>
    <t xml:space="preserve">§39 target (mature)</t>
  </si>
  <si>
    <t xml:space="preserve">20–25%</t>
  </si>
  <si>
    <t xml:space="preserve">5–10%</t>
  </si>
  <si>
    <t xml:space="preserve">15–20% with certification</t>
  </si>
  <si>
    <t xml:space="preserve">(with education)</t>
  </si>
  <si>
    <t xml:space="preserve">15–20% with intelligence</t>
  </si>
  <si>
    <t xml:space="preserve">(with research)</t>
  </si>
  <si>
    <t xml:space="preserve">10–15%</t>
  </si>
  <si>
    <t xml:space="preserve">5–10% with platform</t>
  </si>
  <si>
    <t xml:space="preserve">(with data)</t>
  </si>
  <si>
    <t xml:space="preserve">Total</t>
  </si>
  <si>
    <t xml:space="preserve">Concentration</t>
  </si>
  <si>
    <t xml:space="preserve">§39 sets a ceiling: no single commercial partner above 15% of annual revenue.</t>
  </si>
  <si>
    <t xml:space="preserve">One founding partner, priced on the Pricing sheet.</t>
  </si>
  <si>
    <t xml:space="preserve">Largest single relationship</t>
  </si>
  <si>
    <t xml:space="preserve">Share of total revenue</t>
  </si>
  <si>
    <t xml:space="preserve">Within the 15% ceiling</t>
  </si>
  <si>
    <t xml:space="preserve">The largest relationship modelled is one founding partner. The ceiling is not the model's to enforce — it binds the person signing the contract — but a year in which it is breached is visible here before the contract is signed, not after.</t>
  </si>
  <si>
    <t xml:space="preserve">Against §39 directly</t>
  </si>
  <si>
    <t xml:space="preserve">Band</t>
  </si>
  <si>
    <t xml:space="preserve">§39</t>
  </si>
  <si>
    <t xml:space="preserve">Education and certification</t>
  </si>
  <si>
    <t xml:space="preserve">15–20%</t>
  </si>
  <si>
    <t xml:space="preserve">Research and intelligence</t>
  </si>
  <si>
    <t xml:space="preserve">Data and platform</t>
  </si>
  <si>
    <t xml:space="preserve">§39 describes a mature mix, so the early years are expected to miss it: Year 1 is partnership- and event-heavy because those are the only engines that can run before the platform exists.</t>
  </si>
  <si>
    <t xml:space="preserve">Product prioritisation (§44)</t>
  </si>
  <si>
    <t xml:space="preserve">1–5 on each criterion. The composite is strategic × economic × scalability, as the specification sets out.</t>
  </si>
  <si>
    <t xml:space="preserve">Market demand</t>
  </si>
  <si>
    <t xml:space="preserve">Institutional value</t>
  </si>
  <si>
    <t xml:space="preserve">Scalability</t>
  </si>
  <si>
    <t xml:space="preserve">Strategic importance</t>
  </si>
  <si>
    <t xml:space="preserve">Implementation complexity</t>
  </si>
  <si>
    <t xml:space="preserve">Regulatory risk</t>
  </si>
  <si>
    <t xml:space="preserve">Reputation risk</t>
  </si>
  <si>
    <t xml:space="preserve">Composite</t>
  </si>
  <si>
    <t xml:space="preserve">Rank</t>
  </si>
  <si>
    <t xml:space="preserve">Composite = strategic importance × the mean of institutional value and scalability × gross margin, which is the §44 formula written out. Complexity and the two risk columns are scored but deliberately not multiplied in: they are reasons to sequence a product later or govern it harder, not reasons to drop it.</t>
  </si>
  <si>
    <t xml:space="preserve">Two entities (XAF)</t>
  </si>
  <si>
    <t xml:space="preserve">VAACA is the non-profit. IAFN, a founding member, delivers the services. This is what each earns.</t>
  </si>
  <si>
    <t xml:space="preserve">Revenue by entity</t>
  </si>
  <si>
    <t xml:space="preserve">VAACA — own activity</t>
  </si>
  <si>
    <t xml:space="preserve">IAFN — services delivered</t>
  </si>
  <si>
    <t xml:space="preserve">Ecosystem revenue</t>
  </si>
  <si>
    <t xml:space="preserve">IAFN share of the ecosystem</t>
  </si>
  <si>
    <t xml:space="preserve">What flows back to VAACA</t>
  </si>
  <si>
    <t xml:space="preserve">IAFN delivers using VAACA's brand, its curriculum, its credential and its member channel. A licence on delivered revenue is what makes that an arrangement rather than a gift.</t>
  </si>
  <si>
    <t xml:space="preserve">Licence rate on IAFN delivery</t>
  </si>
  <si>
    <t xml:space="preserve">Licence income to VAACA</t>
  </si>
  <si>
    <t xml:space="preserve">VAACA total income</t>
  </si>
  <si>
    <t xml:space="preserve">VAACA's own operating result</t>
  </si>
  <si>
    <t xml:space="preserve">Income</t>
  </si>
  <si>
    <t xml:space="preserve">Delivery cost it still bears</t>
  </si>
  <si>
    <t xml:space="preserve">Cumulative result</t>
  </si>
  <si>
    <t xml:space="preserve">Related-party test</t>
  </si>
  <si>
    <t xml:space="preserve">IAFN is a founding member of VAACA and its sole service provider. That is a related-party arrangement, and the specification's own 15% concentration ceiling is the right place to test it.</t>
  </si>
  <si>
    <t xml:space="preserve">IAFN licence as share of VAACA income</t>
  </si>
  <si>
    <t xml:space="preserve">The ceiling is the easy test and it passes. The harder one is not arithmetic: IAFN sits in the General Assembly and is named for a seat on the Governing Council, while earning from the ecosystem VAACA convenes. That is governed by recusal and publication, not by a percentage — see project/STRUCTURE.md.</t>
  </si>
  <si>
    <t xml:space="preserve">What the structure costs VAACA</t>
  </si>
  <si>
    <t xml:space="preserve">Deepest cumulative deficit</t>
  </si>
  <si>
    <t xml:space="preserve">What VAACA must raise before the structure pays for itself.</t>
  </si>
  <si>
    <t xml:space="preserve">First year in surplus</t>
  </si>
  <si>
    <t xml:space="preserve">Licence rate that would break even in Year 2</t>
  </si>
  <si>
    <t xml:space="preserve">Against the 12% modelled. The gap is the question the arrangement has to answer.</t>
  </si>
  <si>
    <t xml:space="preserve">Moving services to IAFN is right for the mandate and it is not free. VAACA gives up education, certification and advisory — margin-rich lines — and keeps almost all of the fixed cost base: the secretariat, the platform, the chapters. Break-even moves from Year 2 to Year 3 and the funding requirement roughly triples. The licence rate is the lever, and 12% is a placeholder, not a negotiated figure.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</si>
</sst>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.0%;\(0.0%\);\-"/>
    <numFmt numFmtId="167" formatCode="#,##0;\(#,##0\);\-"/>
    <numFmt numFmtId="168" formatCode="0.0"/>
    <numFmt numFmtId="169" formatCode="#,##0;\(#,##0\);\-"/>
    <numFmt numFmtId="170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4944"/>
      <name val="Arial"/>
      <family val="0"/>
      <charset val="1"/>
    </font>
    <font>
      <i val="true"/>
      <sz val="9"/>
      <color rgb="FF606972"/>
      <name val="Arial"/>
      <family val="0"/>
      <charset val="1"/>
    </font>
    <font>
      <b val="true"/>
      <sz val="11"/>
      <color rgb="FF0B49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DEC"/>
        <bgColor rgb="FFF6F8F8"/>
      </patternFill>
    </fill>
    <fill>
      <patternFill patternType="solid">
        <fgColor rgb="FFF6F8F8"/>
        <bgColor rgb="FFE8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0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0CF"/>
      <rgbColor rgb="FF808080"/>
      <rgbColor rgb="FF9999FF"/>
      <rgbColor rgb="FF993366"/>
      <rgbColor rgb="FFE8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972"/>
      <rgbColor rgb="FF969696"/>
      <rgbColor rgb="FF0B49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</row>
    <row r="6" customFormat="false" ht="15" hidden="false" customHeight="true" outlineLevel="0" collapsed="false">
      <c r="B6" s="5" t="s">
        <v>4</v>
      </c>
    </row>
    <row r="7" customFormat="false" ht="15" hidden="false" customHeight="true" outlineLevel="0" collapsed="false">
      <c r="B7" s="5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 t="s">
        <v>8</v>
      </c>
    </row>
    <row r="12" customFormat="false" ht="15" hidden="false" customHeight="true" outlineLevel="0" collapsed="false">
      <c r="B12" s="5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B15" s="5" t="s">
        <v>11</v>
      </c>
    </row>
    <row r="16" customFormat="false" ht="15" hidden="false" customHeight="true" outlineLevel="0" collapsed="false">
      <c r="B16" s="5" t="s">
        <v>12</v>
      </c>
    </row>
    <row r="17" customFormat="false" ht="15" hidden="false" customHeight="true" outlineLevel="0" collapsed="false">
      <c r="B17" s="5" t="s">
        <v>13</v>
      </c>
    </row>
    <row r="18" customFormat="false" ht="15" hidden="false" customHeight="true" outlineLevel="0" collapsed="false">
      <c r="B18" s="5" t="s">
        <v>14</v>
      </c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B21" s="5" t="s">
        <v>16</v>
      </c>
    </row>
    <row r="22" customFormat="false" ht="15" hidden="false" customHeight="true" outlineLevel="0" collapsed="false">
      <c r="B22" s="5" t="s">
        <v>17</v>
      </c>
    </row>
    <row r="24" customFormat="false" ht="15" hidden="false" customHeight="true" outlineLevel="0" collapsed="false">
      <c r="A24" s="4" t="s">
        <v>18</v>
      </c>
    </row>
    <row r="25" customFormat="false" ht="15" hidden="false" customHeight="true" outlineLevel="0" collapsed="false">
      <c r="B25" s="5" t="s">
        <v>19</v>
      </c>
    </row>
    <row r="27" customFormat="false" ht="15" hidden="false" customHeight="true" outlineLevel="0" collapsed="false">
      <c r="A27" s="4" t="s">
        <v>20</v>
      </c>
    </row>
    <row r="28" customFormat="false" ht="15" hidden="false" customHeight="true" outlineLevel="0" collapsed="false">
      <c r="B28" s="5" t="s">
        <v>21</v>
      </c>
    </row>
    <row r="29" customFormat="false" ht="15" hidden="false" customHeight="true" outlineLevel="0" collapsed="false">
      <c r="B29" s="5" t="s">
        <v>22</v>
      </c>
    </row>
    <row r="30" customFormat="false" ht="15" hidden="false" customHeight="true" outlineLevel="0" collapsed="false">
      <c r="B30" s="5" t="s">
        <v>23</v>
      </c>
    </row>
    <row r="31" customFormat="false" ht="15" hidden="false" customHeight="true" outlineLevel="0" collapsed="false">
      <c r="B31" s="5" t="s">
        <v>24</v>
      </c>
    </row>
    <row r="32" customFormat="false" ht="15" hidden="false" customHeight="true" outlineLevel="0" collapsed="false">
      <c r="B32" s="5" t="s">
        <v>25</v>
      </c>
    </row>
    <row r="33" customFormat="false" ht="15" hidden="false" customHeight="true" outlineLevel="0" collapsed="false">
      <c r="B33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7" min="3" style="1" width="13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2" t="s">
        <v>27</v>
      </c>
    </row>
    <row r="2" customFormat="false" ht="15" hidden="false" customHeight="true" outlineLevel="0" collapsed="false">
      <c r="A2" s="3" t="s">
        <v>28</v>
      </c>
    </row>
    <row r="4" customFormat="false" ht="15" hidden="false" customHeight="true" outlineLevel="0" collapsed="false">
      <c r="A4" s="6" t="s">
        <v>29</v>
      </c>
      <c r="B4" s="7" t="s">
        <v>30</v>
      </c>
      <c r="C4" s="3" t="s">
        <v>31</v>
      </c>
    </row>
    <row r="6" customFormat="false" ht="15" hidden="false" customHeight="true" outlineLevel="0" collapsed="false">
      <c r="A6" s="4" t="s">
        <v>32</v>
      </c>
    </row>
    <row r="7" customFormat="false" ht="15" hidden="false" customHeight="true" outlineLevel="0" collapsed="false">
      <c r="A7" s="8"/>
      <c r="B7" s="9" t="s">
        <v>33</v>
      </c>
      <c r="C7" s="9" t="s">
        <v>30</v>
      </c>
      <c r="D7" s="9" t="s">
        <v>34</v>
      </c>
      <c r="E7" s="9" t="s">
        <v>35</v>
      </c>
    </row>
    <row r="8" customFormat="false" ht="15" hidden="false" customHeight="true" outlineLevel="0" collapsed="false">
      <c r="A8" s="5" t="s">
        <v>36</v>
      </c>
      <c r="B8" s="10" t="n">
        <v>0.8</v>
      </c>
      <c r="C8" s="10" t="n">
        <v>1</v>
      </c>
      <c r="D8" s="10" t="n">
        <v>1.15</v>
      </c>
      <c r="E8" s="11" t="n">
        <f aca="false">INDEX($B8:$D8,MATCH($B$4,$B$7:$D$7,0))</f>
        <v>1</v>
      </c>
      <c r="H8" s="3" t="s">
        <v>37</v>
      </c>
    </row>
    <row r="9" customFormat="false" ht="15" hidden="false" customHeight="true" outlineLevel="0" collapsed="false">
      <c r="A9" s="5" t="s">
        <v>38</v>
      </c>
      <c r="B9" s="10" t="n">
        <v>0.7</v>
      </c>
      <c r="C9" s="10" t="n">
        <v>1</v>
      </c>
      <c r="D9" s="10" t="n">
        <v>1.3</v>
      </c>
      <c r="E9" s="11" t="n">
        <f aca="false">INDEX($B9:$D9,MATCH($B$4,$B$7:$D$7,0))</f>
        <v>1</v>
      </c>
      <c r="H9" s="3" t="s">
        <v>39</v>
      </c>
    </row>
    <row r="10" customFormat="false" ht="15" hidden="false" customHeight="true" outlineLevel="0" collapsed="false">
      <c r="A10" s="5" t="s">
        <v>40</v>
      </c>
      <c r="B10" s="10" t="n">
        <v>0.62</v>
      </c>
      <c r="C10" s="10" t="n">
        <v>1</v>
      </c>
      <c r="D10" s="10" t="n">
        <v>1.4</v>
      </c>
      <c r="E10" s="11" t="n">
        <f aca="false">INDEX($B10:$D10,MATCH($B$4,$B$7:$D$7,0))</f>
        <v>1</v>
      </c>
    </row>
    <row r="11" customFormat="false" ht="15" hidden="false" customHeight="true" outlineLevel="0" collapsed="false">
      <c r="A11" s="5" t="s">
        <v>41</v>
      </c>
      <c r="B11" s="10" t="n">
        <v>0.58</v>
      </c>
      <c r="C11" s="10" t="n">
        <v>1</v>
      </c>
      <c r="D11" s="10" t="n">
        <v>1.45</v>
      </c>
      <c r="E11" s="11" t="n">
        <f aca="false">INDEX($B11:$D11,MATCH($B$4,$B$7:$D$7,0))</f>
        <v>1</v>
      </c>
    </row>
    <row r="12" customFormat="false" ht="15" hidden="false" customHeight="true" outlineLevel="0" collapsed="false">
      <c r="A12" s="5" t="s">
        <v>42</v>
      </c>
      <c r="B12" s="10" t="n">
        <v>0.55</v>
      </c>
      <c r="C12" s="10" t="n">
        <v>1</v>
      </c>
      <c r="D12" s="10" t="n">
        <v>1.5</v>
      </c>
      <c r="E12" s="11" t="n">
        <f aca="false">INDEX($B12:$D12,MATCH($B$4,$B$7:$D$7,0))</f>
        <v>1</v>
      </c>
    </row>
    <row r="13" customFormat="false" ht="15" hidden="false" customHeight="true" outlineLevel="0" collapsed="false">
      <c r="A13" s="6" t="s">
        <v>43</v>
      </c>
      <c r="B13" s="11" t="n">
        <f aca="false">E8</f>
        <v>1</v>
      </c>
      <c r="C13" s="11" t="n">
        <f aca="false">E9</f>
        <v>1</v>
      </c>
      <c r="D13" s="11" t="n">
        <f aca="false">E10</f>
        <v>1</v>
      </c>
      <c r="E13" s="11" t="n">
        <f aca="false">E11</f>
        <v>1</v>
      </c>
      <c r="F13" s="11" t="n">
        <f aca="false">E12</f>
        <v>1</v>
      </c>
    </row>
    <row r="14" customFormat="false" ht="15" hidden="false" customHeight="true" outlineLevel="0" collapsed="false">
      <c r="B14" s="12" t="s">
        <v>36</v>
      </c>
      <c r="C14" s="12" t="s">
        <v>38</v>
      </c>
      <c r="D14" s="12" t="s">
        <v>40</v>
      </c>
      <c r="E14" s="12" t="s">
        <v>41</v>
      </c>
      <c r="F14" s="12" t="s">
        <v>42</v>
      </c>
    </row>
    <row r="16" customFormat="false" ht="15" hidden="false" customHeight="true" outlineLevel="0" collapsed="false">
      <c r="A16" s="4" t="s">
        <v>44</v>
      </c>
    </row>
    <row r="17" customFormat="false" ht="15" hidden="false" customHeight="true" outlineLevel="0" collapsed="false">
      <c r="A17" s="8" t="s">
        <v>45</v>
      </c>
      <c r="B17" s="9" t="s">
        <v>46</v>
      </c>
      <c r="C17" s="9" t="s">
        <v>36</v>
      </c>
      <c r="D17" s="9" t="s">
        <v>38</v>
      </c>
      <c r="E17" s="9" t="s">
        <v>40</v>
      </c>
      <c r="F17" s="9" t="s">
        <v>41</v>
      </c>
      <c r="G17" s="9" t="s">
        <v>42</v>
      </c>
    </row>
    <row r="18" customFormat="false" ht="15" hidden="false" customHeight="true" outlineLevel="0" collapsed="false">
      <c r="A18" s="5" t="s">
        <v>47</v>
      </c>
      <c r="B18" s="3" t="s">
        <v>48</v>
      </c>
      <c r="C18" s="13" t="n">
        <v>0.38</v>
      </c>
      <c r="D18" s="13" t="n">
        <v>0.36</v>
      </c>
      <c r="E18" s="13" t="n">
        <v>0.34</v>
      </c>
      <c r="F18" s="13" t="n">
        <v>0.33</v>
      </c>
      <c r="G18" s="13" t="n">
        <v>0.32</v>
      </c>
    </row>
    <row r="19" customFormat="false" ht="15" hidden="false" customHeight="true" outlineLevel="0" collapsed="false">
      <c r="A19" s="5" t="s">
        <v>49</v>
      </c>
      <c r="B19" s="3" t="s">
        <v>50</v>
      </c>
      <c r="C19" s="13" t="n">
        <v>0.4</v>
      </c>
      <c r="D19" s="13" t="n">
        <v>0.35</v>
      </c>
      <c r="E19" s="13" t="n">
        <v>0.3</v>
      </c>
      <c r="F19" s="13" t="n">
        <v>0.28</v>
      </c>
      <c r="G19" s="13" t="n">
        <v>0.26</v>
      </c>
    </row>
    <row r="20" customFormat="false" ht="15" hidden="false" customHeight="true" outlineLevel="0" collapsed="false">
      <c r="A20" s="5" t="s">
        <v>51</v>
      </c>
      <c r="B20" s="3" t="s">
        <v>52</v>
      </c>
      <c r="C20" s="13" t="n">
        <v>0.52</v>
      </c>
      <c r="D20" s="13" t="n">
        <v>0.48</v>
      </c>
      <c r="E20" s="13" t="n">
        <v>0.45</v>
      </c>
      <c r="F20" s="13" t="n">
        <v>0.43</v>
      </c>
      <c r="G20" s="13" t="n">
        <v>0.42</v>
      </c>
    </row>
    <row r="21" customFormat="false" ht="15" hidden="false" customHeight="true" outlineLevel="0" collapsed="false">
      <c r="A21" s="5" t="s">
        <v>53</v>
      </c>
      <c r="B21" s="3" t="s">
        <v>54</v>
      </c>
      <c r="C21" s="13" t="n">
        <v>0.45</v>
      </c>
      <c r="D21" s="13" t="n">
        <v>0.45</v>
      </c>
      <c r="E21" s="13" t="n">
        <v>0.44</v>
      </c>
      <c r="F21" s="13" t="n">
        <v>0.43</v>
      </c>
      <c r="G21" s="13" t="n">
        <v>0.42</v>
      </c>
    </row>
    <row r="22" customFormat="false" ht="15" hidden="false" customHeight="true" outlineLevel="0" collapsed="false">
      <c r="A22" s="5" t="s">
        <v>55</v>
      </c>
      <c r="B22" s="3" t="s">
        <v>56</v>
      </c>
      <c r="C22" s="13" t="n">
        <v>0.35</v>
      </c>
      <c r="D22" s="13" t="n">
        <v>0.33</v>
      </c>
      <c r="E22" s="13" t="n">
        <v>0.31</v>
      </c>
      <c r="F22" s="13" t="n">
        <v>0.3</v>
      </c>
      <c r="G22" s="13" t="n">
        <v>0.3</v>
      </c>
    </row>
    <row r="23" customFormat="false" ht="15" hidden="false" customHeight="true" outlineLevel="0" collapsed="false">
      <c r="A23" s="5" t="s">
        <v>57</v>
      </c>
      <c r="B23" s="3" t="s">
        <v>58</v>
      </c>
      <c r="C23" s="13" t="n">
        <v>0.07</v>
      </c>
      <c r="D23" s="13" t="n">
        <v>0.07</v>
      </c>
      <c r="E23" s="13" t="n">
        <v>0.06</v>
      </c>
      <c r="F23" s="13" t="n">
        <v>0.06</v>
      </c>
      <c r="G23" s="13" t="n">
        <v>0.05</v>
      </c>
    </row>
    <row r="24" customFormat="false" ht="15" hidden="false" customHeight="true" outlineLevel="0" collapsed="false">
      <c r="A24" s="5" t="s">
        <v>59</v>
      </c>
      <c r="B24" s="3" t="s">
        <v>60</v>
      </c>
      <c r="C24" s="14" t="n">
        <v>22000000</v>
      </c>
      <c r="D24" s="14" t="n">
        <v>38000000</v>
      </c>
      <c r="E24" s="14" t="n">
        <v>62000000</v>
      </c>
      <c r="F24" s="14" t="n">
        <v>85000000</v>
      </c>
      <c r="G24" s="14" t="n">
        <v>105000000</v>
      </c>
    </row>
    <row r="25" customFormat="false" ht="15" hidden="false" customHeight="true" outlineLevel="0" collapsed="false">
      <c r="A25" s="5" t="s">
        <v>61</v>
      </c>
      <c r="B25" s="3" t="s">
        <v>60</v>
      </c>
      <c r="C25" s="14" t="n">
        <v>14000000</v>
      </c>
      <c r="D25" s="14" t="n">
        <v>20000000</v>
      </c>
      <c r="E25" s="14" t="n">
        <v>30000000</v>
      </c>
      <c r="F25" s="14" t="n">
        <v>40000000</v>
      </c>
      <c r="G25" s="14" t="n">
        <v>50000000</v>
      </c>
    </row>
    <row r="26" customFormat="false" ht="15" hidden="false" customHeight="true" outlineLevel="0" collapsed="false">
      <c r="A26" s="5" t="s">
        <v>62</v>
      </c>
      <c r="B26" s="3" t="s">
        <v>60</v>
      </c>
      <c r="C26" s="14" t="n">
        <v>24000000</v>
      </c>
      <c r="D26" s="14" t="n">
        <v>38000000</v>
      </c>
      <c r="E26" s="14" t="n">
        <v>58000000</v>
      </c>
      <c r="F26" s="14" t="n">
        <v>80000000</v>
      </c>
      <c r="G26" s="14" t="n">
        <v>100000000</v>
      </c>
    </row>
    <row r="27" customFormat="false" ht="15" hidden="false" customHeight="true" outlineLevel="0" collapsed="false">
      <c r="A27" s="5" t="s">
        <v>63</v>
      </c>
      <c r="B27" s="3" t="s">
        <v>60</v>
      </c>
      <c r="C27" s="14" t="n">
        <v>16000000</v>
      </c>
      <c r="D27" s="14" t="n">
        <v>26000000</v>
      </c>
      <c r="E27" s="14" t="n">
        <v>40000000</v>
      </c>
      <c r="F27" s="14" t="n">
        <v>56000000</v>
      </c>
      <c r="G27" s="14" t="n">
        <v>70000000</v>
      </c>
    </row>
    <row r="28" customFormat="false" ht="15" hidden="false" customHeight="true" outlineLevel="0" collapsed="false">
      <c r="A28" s="5" t="s">
        <v>64</v>
      </c>
      <c r="B28" s="3" t="s">
        <v>60</v>
      </c>
      <c r="C28" s="14" t="n">
        <v>10000000</v>
      </c>
      <c r="D28" s="14" t="n">
        <v>26000000</v>
      </c>
      <c r="E28" s="14" t="n">
        <v>48000000</v>
      </c>
      <c r="F28" s="14" t="n">
        <v>72000000</v>
      </c>
      <c r="G28" s="14" t="n">
        <v>95000000</v>
      </c>
    </row>
    <row r="31" customFormat="false" ht="15" hidden="false" customHeight="true" outlineLevel="0" collapsed="false">
      <c r="A31" s="4" t="s">
        <v>65</v>
      </c>
    </row>
    <row r="32" customFormat="false" ht="15" hidden="false" customHeight="true" outlineLevel="0" collapsed="false">
      <c r="A32" s="8" t="s">
        <v>45</v>
      </c>
      <c r="B32" s="9" t="s">
        <v>46</v>
      </c>
      <c r="C32" s="9" t="s">
        <v>66</v>
      </c>
      <c r="D32" s="9" t="s">
        <v>67</v>
      </c>
    </row>
    <row r="33" customFormat="false" ht="15" hidden="false" customHeight="true" outlineLevel="0" collapsed="false">
      <c r="A33" s="5" t="s">
        <v>68</v>
      </c>
      <c r="B33" s="3" t="s">
        <v>60</v>
      </c>
      <c r="C33" s="15" t="n">
        <v>0</v>
      </c>
      <c r="D33" s="3" t="s">
        <v>69</v>
      </c>
    </row>
    <row r="34" customFormat="false" ht="15" hidden="false" customHeight="true" outlineLevel="0" collapsed="false">
      <c r="A34" s="5" t="s">
        <v>70</v>
      </c>
      <c r="B34" s="3" t="s">
        <v>71</v>
      </c>
      <c r="C34" s="15" t="n">
        <v>1</v>
      </c>
      <c r="D34" s="3" t="s">
        <v>72</v>
      </c>
    </row>
    <row r="35" customFormat="false" ht="15" hidden="false" customHeight="true" outlineLevel="0" collapsed="false">
      <c r="A35" s="5" t="s">
        <v>73</v>
      </c>
      <c r="B35" s="3" t="s">
        <v>74</v>
      </c>
      <c r="C35" s="16" t="n">
        <v>0.22</v>
      </c>
      <c r="D35" s="3" t="s">
        <v>75</v>
      </c>
    </row>
    <row r="38" customFormat="false" ht="15" hidden="false" customHeight="true" outlineLevel="0" collapsed="false">
      <c r="A38" s="4" t="s">
        <v>76</v>
      </c>
    </row>
    <row r="39" customFormat="false" ht="15" hidden="false" customHeight="true" outlineLevel="0" collapsed="false">
      <c r="A39" s="3" t="s">
        <v>77</v>
      </c>
    </row>
    <row r="40" customFormat="false" ht="15" hidden="false" customHeight="true" outlineLevel="0" collapsed="false">
      <c r="A40" s="8" t="s">
        <v>78</v>
      </c>
      <c r="B40" s="9" t="s">
        <v>79</v>
      </c>
      <c r="C40" s="9" t="s">
        <v>80</v>
      </c>
      <c r="D40" s="9" t="s">
        <v>81</v>
      </c>
      <c r="E40" s="9" t="s">
        <v>82</v>
      </c>
      <c r="F40" s="9" t="s">
        <v>83</v>
      </c>
      <c r="G40" s="9" t="s">
        <v>84</v>
      </c>
      <c r="H40" s="9" t="s">
        <v>85</v>
      </c>
      <c r="I40" s="9" t="s">
        <v>86</v>
      </c>
      <c r="J40" s="9" t="s">
        <v>87</v>
      </c>
      <c r="K40" s="9" t="s">
        <v>88</v>
      </c>
      <c r="L40" s="9" t="s">
        <v>89</v>
      </c>
      <c r="M40" s="9" t="s">
        <v>90</v>
      </c>
      <c r="N40" s="9" t="s">
        <v>91</v>
      </c>
    </row>
    <row r="41" customFormat="false" ht="15" hidden="false" customHeight="true" outlineLevel="0" collapsed="false">
      <c r="A41" s="5" t="s">
        <v>92</v>
      </c>
      <c r="B41" s="13" t="n">
        <v>0.3</v>
      </c>
      <c r="C41" s="13" t="n">
        <v>0.1</v>
      </c>
      <c r="D41" s="13" t="n">
        <v>0.08</v>
      </c>
      <c r="E41" s="13" t="n">
        <v>0.06</v>
      </c>
      <c r="F41" s="13" t="n">
        <v>0.06</v>
      </c>
      <c r="G41" s="13" t="n">
        <v>0.05</v>
      </c>
      <c r="H41" s="13" t="n">
        <v>0.05</v>
      </c>
      <c r="I41" s="13" t="n">
        <v>0.05</v>
      </c>
      <c r="J41" s="13" t="n">
        <v>0.06</v>
      </c>
      <c r="K41" s="13" t="n">
        <v>0.06</v>
      </c>
      <c r="L41" s="13" t="n">
        <v>0.07</v>
      </c>
      <c r="M41" s="13" t="n">
        <v>0.06</v>
      </c>
      <c r="N41" s="17" t="n">
        <f aca="false">SUM(B41:M41)</f>
        <v>1</v>
      </c>
    </row>
    <row r="42" customFormat="false" ht="15" hidden="false" customHeight="true" outlineLevel="0" collapsed="false">
      <c r="A42" s="5" t="s">
        <v>93</v>
      </c>
      <c r="B42" s="13" t="n">
        <v>0</v>
      </c>
      <c r="C42" s="13" t="n">
        <v>0.35</v>
      </c>
      <c r="D42" s="13" t="n">
        <v>0.1</v>
      </c>
      <c r="E42" s="13" t="n">
        <v>0.05</v>
      </c>
      <c r="F42" s="13" t="n">
        <v>0.05</v>
      </c>
      <c r="G42" s="13" t="n">
        <v>0.05</v>
      </c>
      <c r="H42" s="13" t="n">
        <v>0.25</v>
      </c>
      <c r="I42" s="13" t="n">
        <v>0.05</v>
      </c>
      <c r="J42" s="13" t="n">
        <v>0.03</v>
      </c>
      <c r="K42" s="13" t="n">
        <v>0.03</v>
      </c>
      <c r="L42" s="13" t="n">
        <v>0.02</v>
      </c>
      <c r="M42" s="13" t="n">
        <v>0.02</v>
      </c>
      <c r="N42" s="17" t="n">
        <f aca="false">SUM(B42:M42)</f>
        <v>1</v>
      </c>
    </row>
    <row r="43" customFormat="false" ht="15" hidden="false" customHeight="true" outlineLevel="0" collapsed="false">
      <c r="A43" s="5" t="s">
        <v>94</v>
      </c>
      <c r="B43" s="13" t="n">
        <v>0</v>
      </c>
      <c r="C43" s="13" t="n">
        <v>0.02</v>
      </c>
      <c r="D43" s="13" t="n">
        <v>0.1</v>
      </c>
      <c r="E43" s="13" t="n">
        <v>0.12</v>
      </c>
      <c r="F43" s="13" t="n">
        <v>0.12</v>
      </c>
      <c r="G43" s="13" t="n">
        <v>0.08</v>
      </c>
      <c r="H43" s="13" t="n">
        <v>0.04</v>
      </c>
      <c r="I43" s="13" t="n">
        <v>0.08</v>
      </c>
      <c r="J43" s="13" t="n">
        <v>0.12</v>
      </c>
      <c r="K43" s="13" t="n">
        <v>0.14</v>
      </c>
      <c r="L43" s="13" t="n">
        <v>0.12</v>
      </c>
      <c r="M43" s="13" t="n">
        <v>0.06</v>
      </c>
      <c r="N43" s="17" t="n">
        <f aca="false">SUM(B43:M43)</f>
        <v>1</v>
      </c>
    </row>
    <row r="44" customFormat="false" ht="15" hidden="false" customHeight="true" outlineLevel="0" collapsed="false">
      <c r="A44" s="5" t="s">
        <v>95</v>
      </c>
      <c r="B44" s="13" t="n">
        <v>0</v>
      </c>
      <c r="C44" s="13" t="n">
        <v>0</v>
      </c>
      <c r="D44" s="13" t="n">
        <v>0.05</v>
      </c>
      <c r="E44" s="13" t="n">
        <v>0.12</v>
      </c>
      <c r="F44" s="13" t="n">
        <v>0.12</v>
      </c>
      <c r="G44" s="13" t="n">
        <v>0.08</v>
      </c>
      <c r="H44" s="13" t="n">
        <v>0.05</v>
      </c>
      <c r="I44" s="13" t="n">
        <v>0.08</v>
      </c>
      <c r="J44" s="13" t="n">
        <v>0.12</v>
      </c>
      <c r="K44" s="13" t="n">
        <v>0.14</v>
      </c>
      <c r="L44" s="13" t="n">
        <v>0.14</v>
      </c>
      <c r="M44" s="13" t="n">
        <v>0.1</v>
      </c>
      <c r="N44" s="17" t="n">
        <f aca="false">SUM(B44:M44)</f>
        <v>1</v>
      </c>
    </row>
    <row r="45" customFormat="false" ht="15" hidden="false" customHeight="true" outlineLevel="0" collapsed="false">
      <c r="A45" s="5" t="s">
        <v>96</v>
      </c>
      <c r="B45" s="13" t="n">
        <v>0.04</v>
      </c>
      <c r="C45" s="13" t="n">
        <v>0.06</v>
      </c>
      <c r="D45" s="13" t="n">
        <v>0.08</v>
      </c>
      <c r="E45" s="13" t="n">
        <v>0.08</v>
      </c>
      <c r="F45" s="13" t="n">
        <v>0.1</v>
      </c>
      <c r="G45" s="13" t="n">
        <v>0.1</v>
      </c>
      <c r="H45" s="13" t="n">
        <v>0.08</v>
      </c>
      <c r="I45" s="13" t="n">
        <v>0.08</v>
      </c>
      <c r="J45" s="13" t="n">
        <v>0.1</v>
      </c>
      <c r="K45" s="13" t="n">
        <v>0.1</v>
      </c>
      <c r="L45" s="13" t="n">
        <v>0.1</v>
      </c>
      <c r="M45" s="13" t="n">
        <v>0.08</v>
      </c>
      <c r="N45" s="17" t="n">
        <f aca="false">SUM(B45:M45)</f>
        <v>1</v>
      </c>
    </row>
    <row r="46" customFormat="false" ht="15" hidden="false" customHeight="true" outlineLevel="0" collapsed="false">
      <c r="A46" s="5" t="s">
        <v>97</v>
      </c>
      <c r="B46" s="13" t="n">
        <v>0.12</v>
      </c>
      <c r="C46" s="13" t="n">
        <v>0.08</v>
      </c>
      <c r="D46" s="13" t="n">
        <v>0.08</v>
      </c>
      <c r="E46" s="13" t="n">
        <v>0.08</v>
      </c>
      <c r="F46" s="13" t="n">
        <v>0.08</v>
      </c>
      <c r="G46" s="13" t="n">
        <v>0.08</v>
      </c>
      <c r="H46" s="13" t="n">
        <v>0.08</v>
      </c>
      <c r="I46" s="13" t="n">
        <v>0.08</v>
      </c>
      <c r="J46" s="13" t="n">
        <v>0.08</v>
      </c>
      <c r="K46" s="13" t="n">
        <v>0.08</v>
      </c>
      <c r="L46" s="13" t="n">
        <v>0.08</v>
      </c>
      <c r="M46" s="13" t="n">
        <v>0.08</v>
      </c>
      <c r="N46" s="17" t="n">
        <f aca="false">SUM(B46:M46)</f>
        <v>1</v>
      </c>
    </row>
    <row r="47" customFormat="false" ht="15" hidden="false" customHeight="true" outlineLevel="0" collapsed="false">
      <c r="A47" s="5" t="s">
        <v>98</v>
      </c>
      <c r="B47" s="13" t="n">
        <v>0</v>
      </c>
      <c r="C47" s="13" t="n">
        <v>0.02</v>
      </c>
      <c r="D47" s="13" t="n">
        <v>0.04</v>
      </c>
      <c r="E47" s="13" t="n">
        <v>0.06</v>
      </c>
      <c r="F47" s="13" t="n">
        <v>0.08</v>
      </c>
      <c r="G47" s="13" t="n">
        <v>0.14</v>
      </c>
      <c r="H47" s="13" t="n">
        <v>0.2</v>
      </c>
      <c r="I47" s="13" t="n">
        <v>0.12</v>
      </c>
      <c r="J47" s="13" t="n">
        <v>0.28</v>
      </c>
      <c r="K47" s="13" t="n">
        <v>0.04</v>
      </c>
      <c r="L47" s="13" t="n">
        <v>0.02</v>
      </c>
      <c r="M47" s="13" t="n">
        <v>0</v>
      </c>
      <c r="N47" s="17" t="n">
        <f aca="false">SUM(B47:M47)</f>
        <v>1</v>
      </c>
    </row>
    <row r="48" customFormat="false" ht="15" hidden="false" customHeight="true" outlineLevel="0" collapsed="false">
      <c r="A48" s="5" t="s">
        <v>99</v>
      </c>
      <c r="B48" s="13" t="n">
        <v>0.02</v>
      </c>
      <c r="C48" s="13" t="n">
        <v>0.04</v>
      </c>
      <c r="D48" s="13" t="n">
        <v>0.08</v>
      </c>
      <c r="E48" s="13" t="n">
        <v>0.1</v>
      </c>
      <c r="F48" s="13" t="n">
        <v>0.1</v>
      </c>
      <c r="G48" s="13" t="n">
        <v>0.1</v>
      </c>
      <c r="H48" s="13" t="n">
        <v>0.08</v>
      </c>
      <c r="I48" s="13" t="n">
        <v>0.08</v>
      </c>
      <c r="J48" s="13" t="n">
        <v>0.12</v>
      </c>
      <c r="K48" s="13" t="n">
        <v>0.12</v>
      </c>
      <c r="L48" s="13" t="n">
        <v>0.1</v>
      </c>
      <c r="M48" s="13" t="n">
        <v>0.06</v>
      </c>
      <c r="N48" s="17" t="n">
        <f aca="false">SUM(B48:M48)</f>
        <v>1</v>
      </c>
    </row>
    <row r="49" customFormat="false" ht="15" hidden="false" customHeight="true" outlineLevel="0" collapsed="false">
      <c r="A49" s="5" t="s">
        <v>100</v>
      </c>
      <c r="B49" s="13" t="n">
        <v>0.12</v>
      </c>
      <c r="C49" s="13" t="n">
        <v>0.08</v>
      </c>
      <c r="D49" s="13" t="n">
        <v>0.08</v>
      </c>
      <c r="E49" s="13" t="n">
        <v>0.08</v>
      </c>
      <c r="F49" s="13" t="n">
        <v>0.08</v>
      </c>
      <c r="G49" s="13" t="n">
        <v>0.08</v>
      </c>
      <c r="H49" s="13" t="n">
        <v>0.08</v>
      </c>
      <c r="I49" s="13" t="n">
        <v>0.08</v>
      </c>
      <c r="J49" s="13" t="n">
        <v>0.08</v>
      </c>
      <c r="K49" s="13" t="n">
        <v>0.08</v>
      </c>
      <c r="L49" s="13" t="n">
        <v>0.08</v>
      </c>
      <c r="M49" s="13" t="n">
        <v>0.08</v>
      </c>
      <c r="N49" s="17" t="n">
        <f aca="false">SUM(B49:M49)</f>
        <v>1</v>
      </c>
    </row>
    <row r="50" customFormat="false" ht="15" hidden="false" customHeight="true" outlineLevel="0" collapsed="false">
      <c r="A50" s="5" t="s">
        <v>101</v>
      </c>
      <c r="B50" s="13" t="n">
        <v>0.12</v>
      </c>
      <c r="C50" s="13" t="n">
        <v>0.08</v>
      </c>
      <c r="D50" s="13" t="n">
        <v>0.08</v>
      </c>
      <c r="E50" s="13" t="n">
        <v>0.08</v>
      </c>
      <c r="F50" s="13" t="n">
        <v>0.08</v>
      </c>
      <c r="G50" s="13" t="n">
        <v>0.08</v>
      </c>
      <c r="H50" s="13" t="n">
        <v>0.08</v>
      </c>
      <c r="I50" s="13" t="n">
        <v>0.08</v>
      </c>
      <c r="J50" s="13" t="n">
        <v>0.08</v>
      </c>
      <c r="K50" s="13" t="n">
        <v>0.08</v>
      </c>
      <c r="L50" s="13" t="n">
        <v>0.08</v>
      </c>
      <c r="M50" s="13" t="n">
        <v>0.08</v>
      </c>
      <c r="N50" s="17" t="n">
        <f aca="false">SUM(B50:M50)</f>
        <v>1</v>
      </c>
    </row>
    <row r="52" customFormat="false" ht="15" hidden="false" customHeight="true" outlineLevel="0" collapsed="false">
      <c r="A52" s="3" t="s">
        <v>102</v>
      </c>
    </row>
  </sheetData>
  <dataValidations count="1">
    <dataValidation allowBlank="false" errorStyle="stop" operator="between" showDropDown="false" showErrorMessage="false" showInputMessage="false" sqref="B4" type="list">
      <formula1>"Conservative,Base,Aggressive"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56"/>
  </cols>
  <sheetData>
    <row r="1" customFormat="false" ht="17.25" hidden="false" customHeight="true" outlineLevel="0" collapsed="false">
      <c r="A1" s="2" t="s">
        <v>103</v>
      </c>
    </row>
    <row r="2" customFormat="false" ht="15" hidden="false" customHeight="true" outlineLevel="0" collapsed="false">
      <c r="A2" s="3" t="s">
        <v>104</v>
      </c>
    </row>
    <row r="3" customFormat="false" ht="15" hidden="false" customHeight="true" outlineLevel="0" collapsed="false">
      <c r="A3" s="8" t="s">
        <v>105</v>
      </c>
      <c r="B3" s="9" t="s">
        <v>106</v>
      </c>
      <c r="C3" s="9" t="s">
        <v>78</v>
      </c>
      <c r="D3" s="9" t="s">
        <v>107</v>
      </c>
      <c r="E3" s="9" t="s">
        <v>108</v>
      </c>
    </row>
    <row r="4" customFormat="false" ht="15" hidden="false" customHeight="true" outlineLevel="0" collapsed="false">
      <c r="A4" s="5" t="s">
        <v>79</v>
      </c>
      <c r="B4" s="5" t="s">
        <v>109</v>
      </c>
      <c r="C4" s="5" t="s">
        <v>92</v>
      </c>
      <c r="D4" s="14" t="n">
        <v>37500</v>
      </c>
      <c r="E4" s="3" t="s">
        <v>110</v>
      </c>
    </row>
    <row r="5" customFormat="false" ht="15" hidden="false" customHeight="true" outlineLevel="0" collapsed="false">
      <c r="A5" s="18" t="s">
        <v>80</v>
      </c>
      <c r="B5" s="18" t="s">
        <v>111</v>
      </c>
      <c r="C5" s="18" t="s">
        <v>92</v>
      </c>
      <c r="D5" s="19" t="n">
        <v>175000</v>
      </c>
      <c r="E5" s="20" t="s">
        <v>112</v>
      </c>
    </row>
    <row r="6" customFormat="false" ht="15" hidden="false" customHeight="true" outlineLevel="0" collapsed="false">
      <c r="A6" s="5" t="s">
        <v>81</v>
      </c>
      <c r="B6" s="5" t="s">
        <v>113</v>
      </c>
      <c r="C6" s="5" t="s">
        <v>92</v>
      </c>
      <c r="D6" s="14" t="n">
        <v>375000</v>
      </c>
      <c r="E6" s="3" t="s">
        <v>114</v>
      </c>
    </row>
    <row r="7" customFormat="false" ht="15" hidden="false" customHeight="true" outlineLevel="0" collapsed="false">
      <c r="A7" s="18" t="s">
        <v>82</v>
      </c>
      <c r="B7" s="18" t="s">
        <v>115</v>
      </c>
      <c r="C7" s="18" t="s">
        <v>92</v>
      </c>
      <c r="D7" s="19" t="n">
        <v>1375000</v>
      </c>
      <c r="E7" s="20" t="s">
        <v>116</v>
      </c>
    </row>
    <row r="8" customFormat="false" ht="15" hidden="false" customHeight="true" outlineLevel="0" collapsed="false">
      <c r="A8" s="5" t="s">
        <v>83</v>
      </c>
      <c r="B8" s="5" t="s">
        <v>117</v>
      </c>
      <c r="C8" s="5" t="s">
        <v>92</v>
      </c>
      <c r="D8" s="14" t="n">
        <v>3250000</v>
      </c>
      <c r="E8" s="3" t="s">
        <v>118</v>
      </c>
    </row>
    <row r="9" customFormat="false" ht="15" hidden="false" customHeight="true" outlineLevel="0" collapsed="false">
      <c r="A9" s="18" t="s">
        <v>84</v>
      </c>
      <c r="B9" s="18" t="s">
        <v>119</v>
      </c>
      <c r="C9" s="18" t="s">
        <v>92</v>
      </c>
      <c r="D9" s="19" t="n">
        <v>15000000</v>
      </c>
      <c r="E9" s="20" t="s">
        <v>120</v>
      </c>
    </row>
    <row r="10" customFormat="false" ht="15" hidden="false" customHeight="true" outlineLevel="0" collapsed="false">
      <c r="A10" s="5" t="s">
        <v>121</v>
      </c>
      <c r="B10" s="5" t="s">
        <v>122</v>
      </c>
      <c r="C10" s="5" t="s">
        <v>93</v>
      </c>
      <c r="D10" s="14" t="n">
        <v>15000000</v>
      </c>
      <c r="E10" s="3" t="s">
        <v>123</v>
      </c>
    </row>
    <row r="11" customFormat="false" ht="15" hidden="false" customHeight="true" outlineLevel="0" collapsed="false">
      <c r="A11" s="18" t="s">
        <v>124</v>
      </c>
      <c r="B11" s="18" t="s">
        <v>125</v>
      </c>
      <c r="C11" s="18" t="s">
        <v>93</v>
      </c>
      <c r="D11" s="19" t="n">
        <v>5000000</v>
      </c>
      <c r="E11" s="20" t="s">
        <v>126</v>
      </c>
    </row>
    <row r="12" customFormat="false" ht="15" hidden="false" customHeight="true" outlineLevel="0" collapsed="false">
      <c r="A12" s="5" t="s">
        <v>127</v>
      </c>
      <c r="B12" s="5" t="s">
        <v>128</v>
      </c>
      <c r="C12" s="5" t="s">
        <v>93</v>
      </c>
      <c r="D12" s="14" t="n">
        <v>1500000</v>
      </c>
      <c r="E12" s="3" t="s">
        <v>129</v>
      </c>
    </row>
    <row r="13" customFormat="false" ht="15" hidden="false" customHeight="true" outlineLevel="0" collapsed="false">
      <c r="A13" s="18" t="s">
        <v>130</v>
      </c>
      <c r="B13" s="18" t="s">
        <v>131</v>
      </c>
      <c r="C13" s="18" t="s">
        <v>94</v>
      </c>
      <c r="D13" s="19" t="n">
        <v>800000</v>
      </c>
      <c r="E13" s="20" t="s">
        <v>132</v>
      </c>
    </row>
    <row r="14" customFormat="false" ht="15" hidden="false" customHeight="true" outlineLevel="0" collapsed="false">
      <c r="A14" s="5" t="s">
        <v>133</v>
      </c>
      <c r="B14" s="5" t="s">
        <v>134</v>
      </c>
      <c r="C14" s="5" t="s">
        <v>94</v>
      </c>
      <c r="D14" s="14" t="n">
        <v>10000000</v>
      </c>
      <c r="E14" s="3" t="s">
        <v>135</v>
      </c>
    </row>
    <row r="15" customFormat="false" ht="15" hidden="false" customHeight="true" outlineLevel="0" collapsed="false">
      <c r="A15" s="18" t="s">
        <v>136</v>
      </c>
      <c r="B15" s="18" t="s">
        <v>137</v>
      </c>
      <c r="C15" s="18" t="s">
        <v>94</v>
      </c>
      <c r="D15" s="19" t="n">
        <v>20000000</v>
      </c>
      <c r="E15" s="20" t="s">
        <v>138</v>
      </c>
    </row>
    <row r="16" customFormat="false" ht="15" hidden="false" customHeight="true" outlineLevel="0" collapsed="false">
      <c r="A16" s="5" t="s">
        <v>139</v>
      </c>
      <c r="B16" s="5" t="s">
        <v>140</v>
      </c>
      <c r="C16" s="5" t="s">
        <v>95</v>
      </c>
      <c r="D16" s="14" t="n">
        <v>450000</v>
      </c>
      <c r="E16" s="3" t="s">
        <v>141</v>
      </c>
    </row>
    <row r="17" customFormat="false" ht="15" hidden="false" customHeight="true" outlineLevel="0" collapsed="false">
      <c r="A17" s="18" t="s">
        <v>142</v>
      </c>
      <c r="B17" s="18" t="s">
        <v>143</v>
      </c>
      <c r="C17" s="18" t="s">
        <v>95</v>
      </c>
      <c r="D17" s="19" t="n">
        <v>120000</v>
      </c>
      <c r="E17" s="20" t="s">
        <v>144</v>
      </c>
    </row>
    <row r="18" customFormat="false" ht="15" hidden="false" customHeight="true" outlineLevel="0" collapsed="false">
      <c r="A18" s="5" t="s">
        <v>145</v>
      </c>
      <c r="B18" s="5" t="s">
        <v>146</v>
      </c>
      <c r="C18" s="5" t="s">
        <v>95</v>
      </c>
      <c r="D18" s="14" t="n">
        <v>6000000</v>
      </c>
      <c r="E18" s="3" t="s">
        <v>147</v>
      </c>
    </row>
    <row r="19" customFormat="false" ht="15" hidden="false" customHeight="true" outlineLevel="0" collapsed="false">
      <c r="A19" s="18" t="s">
        <v>148</v>
      </c>
      <c r="B19" s="18" t="s">
        <v>149</v>
      </c>
      <c r="C19" s="18" t="s">
        <v>96</v>
      </c>
      <c r="D19" s="19" t="n">
        <v>1500000</v>
      </c>
      <c r="E19" s="20" t="s">
        <v>150</v>
      </c>
    </row>
    <row r="20" customFormat="false" ht="15" hidden="false" customHeight="true" outlineLevel="0" collapsed="false">
      <c r="A20" s="5" t="s">
        <v>151</v>
      </c>
      <c r="B20" s="5" t="s">
        <v>152</v>
      </c>
      <c r="C20" s="5" t="s">
        <v>96</v>
      </c>
      <c r="D20" s="14" t="n">
        <v>7000000</v>
      </c>
      <c r="E20" s="3" t="s">
        <v>153</v>
      </c>
    </row>
    <row r="21" customFormat="false" ht="15" hidden="false" customHeight="true" outlineLevel="0" collapsed="false">
      <c r="A21" s="18" t="s">
        <v>154</v>
      </c>
      <c r="B21" s="18" t="s">
        <v>155</v>
      </c>
      <c r="C21" s="18" t="s">
        <v>96</v>
      </c>
      <c r="D21" s="19" t="n">
        <v>25000000</v>
      </c>
      <c r="E21" s="20" t="s">
        <v>156</v>
      </c>
    </row>
    <row r="22" customFormat="false" ht="15" hidden="false" customHeight="true" outlineLevel="0" collapsed="false">
      <c r="A22" s="5" t="s">
        <v>157</v>
      </c>
      <c r="B22" s="5" t="s">
        <v>158</v>
      </c>
      <c r="C22" s="5" t="s">
        <v>97</v>
      </c>
      <c r="D22" s="14" t="n">
        <v>250000</v>
      </c>
      <c r="E22" s="3" t="s">
        <v>159</v>
      </c>
    </row>
    <row r="23" customFormat="false" ht="15" hidden="false" customHeight="true" outlineLevel="0" collapsed="false">
      <c r="A23" s="18" t="s">
        <v>160</v>
      </c>
      <c r="B23" s="18" t="s">
        <v>161</v>
      </c>
      <c r="C23" s="18" t="s">
        <v>97</v>
      </c>
      <c r="D23" s="19" t="n">
        <v>750000</v>
      </c>
      <c r="E23" s="20" t="s">
        <v>162</v>
      </c>
    </row>
    <row r="24" customFormat="false" ht="15" hidden="false" customHeight="true" outlineLevel="0" collapsed="false">
      <c r="A24" s="5" t="s">
        <v>163</v>
      </c>
      <c r="B24" s="5" t="s">
        <v>164</v>
      </c>
      <c r="C24" s="5" t="s">
        <v>97</v>
      </c>
      <c r="D24" s="14" t="n">
        <v>3500000</v>
      </c>
      <c r="E24" s="3" t="s">
        <v>165</v>
      </c>
    </row>
    <row r="25" customFormat="false" ht="15" hidden="false" customHeight="true" outlineLevel="0" collapsed="false">
      <c r="A25" s="18" t="s">
        <v>166</v>
      </c>
      <c r="B25" s="18" t="s">
        <v>167</v>
      </c>
      <c r="C25" s="18" t="s">
        <v>97</v>
      </c>
      <c r="D25" s="19" t="n">
        <v>10000000</v>
      </c>
      <c r="E25" s="20" t="s">
        <v>168</v>
      </c>
    </row>
    <row r="26" customFormat="false" ht="15" hidden="false" customHeight="true" outlineLevel="0" collapsed="false">
      <c r="A26" s="5" t="s">
        <v>169</v>
      </c>
      <c r="B26" s="5" t="s">
        <v>170</v>
      </c>
      <c r="C26" s="5" t="s">
        <v>97</v>
      </c>
      <c r="D26" s="14" t="n">
        <v>25000000</v>
      </c>
      <c r="E26" s="3" t="s">
        <v>171</v>
      </c>
    </row>
    <row r="27" customFormat="false" ht="15" hidden="false" customHeight="true" outlineLevel="0" collapsed="false">
      <c r="A27" s="18" t="s">
        <v>172</v>
      </c>
      <c r="B27" s="18" t="s">
        <v>173</v>
      </c>
      <c r="C27" s="18" t="s">
        <v>98</v>
      </c>
      <c r="D27" s="19" t="n">
        <v>60000</v>
      </c>
      <c r="E27" s="20" t="s">
        <v>174</v>
      </c>
    </row>
    <row r="28" customFormat="false" ht="15" hidden="false" customHeight="true" outlineLevel="0" collapsed="false">
      <c r="A28" s="5" t="s">
        <v>175</v>
      </c>
      <c r="B28" s="5" t="s">
        <v>176</v>
      </c>
      <c r="C28" s="5" t="s">
        <v>98</v>
      </c>
      <c r="D28" s="14" t="n">
        <v>10000000</v>
      </c>
      <c r="E28" s="3" t="s">
        <v>177</v>
      </c>
    </row>
    <row r="29" customFormat="false" ht="15" hidden="false" customHeight="true" outlineLevel="0" collapsed="false">
      <c r="A29" s="18" t="s">
        <v>178</v>
      </c>
      <c r="B29" s="18" t="s">
        <v>179</v>
      </c>
      <c r="C29" s="18" t="s">
        <v>98</v>
      </c>
      <c r="D29" s="19" t="n">
        <v>7500000</v>
      </c>
      <c r="E29" s="20" t="s">
        <v>180</v>
      </c>
    </row>
    <row r="30" customFormat="false" ht="15" hidden="false" customHeight="true" outlineLevel="0" collapsed="false">
      <c r="A30" s="5" t="s">
        <v>181</v>
      </c>
      <c r="B30" s="5" t="s">
        <v>182</v>
      </c>
      <c r="C30" s="5" t="s">
        <v>98</v>
      </c>
      <c r="D30" s="14" t="n">
        <v>3000000</v>
      </c>
      <c r="E30" s="3" t="s">
        <v>183</v>
      </c>
    </row>
    <row r="31" customFormat="false" ht="15" hidden="false" customHeight="true" outlineLevel="0" collapsed="false">
      <c r="A31" s="18" t="s">
        <v>184</v>
      </c>
      <c r="B31" s="18" t="s">
        <v>185</v>
      </c>
      <c r="C31" s="18" t="s">
        <v>99</v>
      </c>
      <c r="D31" s="19" t="n">
        <v>4000000</v>
      </c>
      <c r="E31" s="20" t="s">
        <v>186</v>
      </c>
    </row>
    <row r="32" customFormat="false" ht="15" hidden="false" customHeight="true" outlineLevel="0" collapsed="false">
      <c r="A32" s="5" t="s">
        <v>187</v>
      </c>
      <c r="B32" s="5" t="s">
        <v>188</v>
      </c>
      <c r="C32" s="5" t="s">
        <v>99</v>
      </c>
      <c r="D32" s="14" t="n">
        <v>18000000</v>
      </c>
      <c r="E32" s="3" t="s">
        <v>189</v>
      </c>
    </row>
    <row r="33" customFormat="false" ht="15" hidden="false" customHeight="true" outlineLevel="0" collapsed="false">
      <c r="A33" s="18" t="s">
        <v>190</v>
      </c>
      <c r="B33" s="18" t="s">
        <v>191</v>
      </c>
      <c r="C33" s="18" t="s">
        <v>99</v>
      </c>
      <c r="D33" s="19" t="n">
        <v>80000000</v>
      </c>
      <c r="E33" s="20" t="s">
        <v>192</v>
      </c>
    </row>
    <row r="34" customFormat="false" ht="15" hidden="false" customHeight="true" outlineLevel="0" collapsed="false">
      <c r="A34" s="5" t="s">
        <v>193</v>
      </c>
      <c r="B34" s="5" t="s">
        <v>194</v>
      </c>
      <c r="C34" s="5" t="s">
        <v>100</v>
      </c>
      <c r="D34" s="14" t="n">
        <v>1200000</v>
      </c>
      <c r="E34" s="3" t="s">
        <v>195</v>
      </c>
    </row>
    <row r="35" customFormat="false" ht="15" hidden="false" customHeight="true" outlineLevel="0" collapsed="false">
      <c r="A35" s="18" t="s">
        <v>196</v>
      </c>
      <c r="B35" s="18" t="s">
        <v>197</v>
      </c>
      <c r="C35" s="18" t="s">
        <v>100</v>
      </c>
      <c r="D35" s="19" t="n">
        <v>8000000</v>
      </c>
      <c r="E35" s="20" t="s">
        <v>198</v>
      </c>
    </row>
    <row r="36" customFormat="false" ht="15" hidden="false" customHeight="true" outlineLevel="0" collapsed="false">
      <c r="A36" s="5" t="s">
        <v>199</v>
      </c>
      <c r="B36" s="5" t="s">
        <v>200</v>
      </c>
      <c r="C36" s="5" t="s">
        <v>100</v>
      </c>
      <c r="D36" s="14" t="n">
        <v>15000000</v>
      </c>
      <c r="E36" s="3" t="s">
        <v>201</v>
      </c>
    </row>
    <row r="37" customFormat="false" ht="15" hidden="false" customHeight="true" outlineLevel="0" collapsed="false">
      <c r="A37" s="18" t="s">
        <v>202</v>
      </c>
      <c r="B37" s="18" t="s">
        <v>203</v>
      </c>
      <c r="C37" s="18" t="s">
        <v>101</v>
      </c>
      <c r="D37" s="19" t="n">
        <v>150000</v>
      </c>
      <c r="E37" s="20" t="s">
        <v>204</v>
      </c>
    </row>
    <row r="38" customFormat="false" ht="15" hidden="false" customHeight="true" outlineLevel="0" collapsed="false">
      <c r="A38" s="5" t="s">
        <v>205</v>
      </c>
      <c r="B38" s="5" t="s">
        <v>206</v>
      </c>
      <c r="C38" s="5" t="s">
        <v>101</v>
      </c>
      <c r="D38" s="14" t="n">
        <v>5000000</v>
      </c>
      <c r="E38" s="3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3" min="3" style="1" width="22"/>
    <col collapsed="false" customWidth="true" hidden="false" outlineLevel="0" max="8" min="4" style="1" width="11"/>
    <col collapsed="false" customWidth="true" hidden="false" outlineLevel="0" max="9" min="9" style="1" width="3"/>
    <col collapsed="false" customWidth="true" hidden="false" outlineLevel="0" max="14" min="10" style="1" width="12"/>
  </cols>
  <sheetData>
    <row r="1" customFormat="false" ht="17.25" hidden="false" customHeight="true" outlineLevel="0" collapsed="false">
      <c r="A1" s="2" t="s">
        <v>208</v>
      </c>
    </row>
    <row r="2" customFormat="false" ht="15" hidden="false" customHeight="true" outlineLevel="0" collapsed="false">
      <c r="A2" s="3" t="s">
        <v>209</v>
      </c>
    </row>
    <row r="3" customFormat="false" ht="23.25" hidden="false" customHeight="true" outlineLevel="0" collapsed="false">
      <c r="A3" s="8" t="s">
        <v>105</v>
      </c>
      <c r="B3" s="9" t="s">
        <v>106</v>
      </c>
      <c r="C3" s="9" t="s">
        <v>78</v>
      </c>
      <c r="D3" s="9" t="s">
        <v>210</v>
      </c>
      <c r="E3" s="9" t="s">
        <v>211</v>
      </c>
      <c r="F3" s="9" t="s">
        <v>212</v>
      </c>
      <c r="G3" s="9" t="s">
        <v>213</v>
      </c>
      <c r="H3" s="9" t="s">
        <v>214</v>
      </c>
      <c r="I3" s="9"/>
      <c r="J3" s="9" t="s">
        <v>215</v>
      </c>
      <c r="K3" s="9" t="s">
        <v>216</v>
      </c>
      <c r="L3" s="9" t="s">
        <v>217</v>
      </c>
      <c r="M3" s="9" t="s">
        <v>218</v>
      </c>
      <c r="N3" s="9" t="s">
        <v>219</v>
      </c>
    </row>
    <row r="4" customFormat="false" ht="15" hidden="false" customHeight="true" outlineLevel="0" collapsed="false">
      <c r="A4" s="5" t="s">
        <v>79</v>
      </c>
      <c r="B4" s="5" t="s">
        <v>109</v>
      </c>
      <c r="C4" s="5" t="s">
        <v>92</v>
      </c>
      <c r="D4" s="14" t="n">
        <v>120</v>
      </c>
      <c r="E4" s="14" t="n">
        <v>230</v>
      </c>
      <c r="F4" s="14" t="n">
        <v>430</v>
      </c>
      <c r="G4" s="14" t="n">
        <v>700</v>
      </c>
      <c r="H4" s="14" t="n">
        <v>1050</v>
      </c>
      <c r="J4" s="21" t="n">
        <f aca="false">ROUND(D4*Assumptions!$B$13,0)</f>
        <v>120</v>
      </c>
      <c r="K4" s="21" t="n">
        <f aca="false">ROUND(E4*Assumptions!$C$13,0)</f>
        <v>230</v>
      </c>
      <c r="L4" s="21" t="n">
        <f aca="false">ROUND(F4*Assumptions!$D$13,0)</f>
        <v>430</v>
      </c>
      <c r="M4" s="21" t="n">
        <f aca="false">ROUND(G4*Assumptions!$E$13,0)</f>
        <v>700</v>
      </c>
      <c r="N4" s="21" t="n">
        <f aca="false">ROUND(H4*Assumptions!$F$13,0)</f>
        <v>1050</v>
      </c>
    </row>
    <row r="5" customFormat="false" ht="15" hidden="false" customHeight="true" outlineLevel="0" collapsed="false">
      <c r="A5" s="18" t="s">
        <v>80</v>
      </c>
      <c r="B5" s="18" t="s">
        <v>111</v>
      </c>
      <c r="C5" s="18" t="s">
        <v>92</v>
      </c>
      <c r="D5" s="19" t="n">
        <v>90</v>
      </c>
      <c r="E5" s="19" t="n">
        <v>165</v>
      </c>
      <c r="F5" s="19" t="n">
        <v>290</v>
      </c>
      <c r="G5" s="19" t="n">
        <v>470</v>
      </c>
      <c r="H5" s="19" t="n">
        <v>700</v>
      </c>
      <c r="I5" s="22"/>
      <c r="J5" s="23" t="n">
        <f aca="false">ROUND(D5*Assumptions!$B$13,0)</f>
        <v>90</v>
      </c>
      <c r="K5" s="23" t="n">
        <f aca="false">ROUND(E5*Assumptions!$C$13,0)</f>
        <v>165</v>
      </c>
      <c r="L5" s="23" t="n">
        <f aca="false">ROUND(F5*Assumptions!$D$13,0)</f>
        <v>290</v>
      </c>
      <c r="M5" s="23" t="n">
        <f aca="false">ROUND(G5*Assumptions!$E$13,0)</f>
        <v>470</v>
      </c>
      <c r="N5" s="23" t="n">
        <f aca="false">ROUND(H5*Assumptions!$F$13,0)</f>
        <v>700</v>
      </c>
    </row>
    <row r="6" customFormat="false" ht="15" hidden="false" customHeight="true" outlineLevel="0" collapsed="false">
      <c r="A6" s="5" t="s">
        <v>81</v>
      </c>
      <c r="B6" s="5" t="s">
        <v>113</v>
      </c>
      <c r="C6" s="5" t="s">
        <v>92</v>
      </c>
      <c r="D6" s="14" t="n">
        <v>25</v>
      </c>
      <c r="E6" s="14" t="n">
        <v>48</v>
      </c>
      <c r="F6" s="14" t="n">
        <v>88</v>
      </c>
      <c r="G6" s="14" t="n">
        <v>150</v>
      </c>
      <c r="H6" s="14" t="n">
        <v>235</v>
      </c>
      <c r="J6" s="21" t="n">
        <f aca="false">ROUND(D6*Assumptions!$B$13,0)</f>
        <v>25</v>
      </c>
      <c r="K6" s="21" t="n">
        <f aca="false">ROUND(E6*Assumptions!$C$13,0)</f>
        <v>48</v>
      </c>
      <c r="L6" s="21" t="n">
        <f aca="false">ROUND(F6*Assumptions!$D$13,0)</f>
        <v>88</v>
      </c>
      <c r="M6" s="21" t="n">
        <f aca="false">ROUND(G6*Assumptions!$E$13,0)</f>
        <v>150</v>
      </c>
      <c r="N6" s="21" t="n">
        <f aca="false">ROUND(H6*Assumptions!$F$13,0)</f>
        <v>235</v>
      </c>
    </row>
    <row r="7" customFormat="false" ht="15" hidden="false" customHeight="true" outlineLevel="0" collapsed="false">
      <c r="A7" s="18" t="s">
        <v>82</v>
      </c>
      <c r="B7" s="18" t="s">
        <v>115</v>
      </c>
      <c r="C7" s="18" t="s">
        <v>92</v>
      </c>
      <c r="D7" s="19" t="n">
        <v>10</v>
      </c>
      <c r="E7" s="19" t="n">
        <v>21</v>
      </c>
      <c r="F7" s="19" t="n">
        <v>40</v>
      </c>
      <c r="G7" s="19" t="n">
        <v>66</v>
      </c>
      <c r="H7" s="19" t="n">
        <v>102</v>
      </c>
      <c r="I7" s="22"/>
      <c r="J7" s="23" t="n">
        <f aca="false">ROUND(D7*Assumptions!$B$13,0)</f>
        <v>10</v>
      </c>
      <c r="K7" s="23" t="n">
        <f aca="false">ROUND(E7*Assumptions!$C$13,0)</f>
        <v>21</v>
      </c>
      <c r="L7" s="23" t="n">
        <f aca="false">ROUND(F7*Assumptions!$D$13,0)</f>
        <v>40</v>
      </c>
      <c r="M7" s="23" t="n">
        <f aca="false">ROUND(G7*Assumptions!$E$13,0)</f>
        <v>66</v>
      </c>
      <c r="N7" s="23" t="n">
        <f aca="false">ROUND(H7*Assumptions!$F$13,0)</f>
        <v>102</v>
      </c>
    </row>
    <row r="8" customFormat="false" ht="15" hidden="false" customHeight="true" outlineLevel="0" collapsed="false">
      <c r="A8" s="5" t="s">
        <v>83</v>
      </c>
      <c r="B8" s="5" t="s">
        <v>117</v>
      </c>
      <c r="C8" s="5" t="s">
        <v>92</v>
      </c>
      <c r="D8" s="14" t="n">
        <v>2</v>
      </c>
      <c r="E8" s="14" t="n">
        <v>5</v>
      </c>
      <c r="F8" s="14" t="n">
        <v>11</v>
      </c>
      <c r="G8" s="14" t="n">
        <v>20</v>
      </c>
      <c r="H8" s="14" t="n">
        <v>32</v>
      </c>
      <c r="J8" s="21" t="n">
        <f aca="false">ROUND(D8*Assumptions!$B$13,0)</f>
        <v>2</v>
      </c>
      <c r="K8" s="21" t="n">
        <f aca="false">ROUND(E8*Assumptions!$C$13,0)</f>
        <v>5</v>
      </c>
      <c r="L8" s="21" t="n">
        <f aca="false">ROUND(F8*Assumptions!$D$13,0)</f>
        <v>11</v>
      </c>
      <c r="M8" s="21" t="n">
        <f aca="false">ROUND(G8*Assumptions!$E$13,0)</f>
        <v>20</v>
      </c>
      <c r="N8" s="21" t="n">
        <f aca="false">ROUND(H8*Assumptions!$F$13,0)</f>
        <v>32</v>
      </c>
    </row>
    <row r="9" customFormat="false" ht="15" hidden="false" customHeight="true" outlineLevel="0" collapsed="false">
      <c r="A9" s="18" t="s">
        <v>84</v>
      </c>
      <c r="B9" s="18" t="s">
        <v>119</v>
      </c>
      <c r="C9" s="18" t="s">
        <v>92</v>
      </c>
      <c r="D9" s="19" t="n">
        <v>0</v>
      </c>
      <c r="E9" s="19" t="n">
        <v>1</v>
      </c>
      <c r="F9" s="19" t="n">
        <v>2</v>
      </c>
      <c r="G9" s="19" t="n">
        <v>4</v>
      </c>
      <c r="H9" s="19" t="n">
        <v>6</v>
      </c>
      <c r="I9" s="22"/>
      <c r="J9" s="23" t="n">
        <f aca="false">ROUND(D9*Assumptions!$B$13,0)</f>
        <v>0</v>
      </c>
      <c r="K9" s="23" t="n">
        <f aca="false">ROUND(E9*Assumptions!$C$13,0)</f>
        <v>1</v>
      </c>
      <c r="L9" s="23" t="n">
        <f aca="false">ROUND(F9*Assumptions!$D$13,0)</f>
        <v>2</v>
      </c>
      <c r="M9" s="23" t="n">
        <f aca="false">ROUND(G9*Assumptions!$E$13,0)</f>
        <v>4</v>
      </c>
      <c r="N9" s="23" t="n">
        <f aca="false">ROUND(H9*Assumptions!$F$13,0)</f>
        <v>6</v>
      </c>
    </row>
    <row r="10" customFormat="false" ht="15" hidden="false" customHeight="true" outlineLevel="0" collapsed="false">
      <c r="A10" s="5" t="s">
        <v>121</v>
      </c>
      <c r="B10" s="5" t="s">
        <v>122</v>
      </c>
      <c r="C10" s="5" t="s">
        <v>93</v>
      </c>
      <c r="D10" s="14" t="n">
        <v>2</v>
      </c>
      <c r="E10" s="14" t="n">
        <v>2</v>
      </c>
      <c r="F10" s="14" t="n">
        <v>4</v>
      </c>
      <c r="G10" s="14" t="n">
        <v>5</v>
      </c>
      <c r="H10" s="14" t="n">
        <v>6</v>
      </c>
      <c r="J10" s="21" t="n">
        <f aca="false">ROUND(D10*Assumptions!$B$13,0)</f>
        <v>2</v>
      </c>
      <c r="K10" s="21" t="n">
        <f aca="false">ROUND(E10*Assumptions!$C$13,0)</f>
        <v>2</v>
      </c>
      <c r="L10" s="21" t="n">
        <f aca="false">ROUND(F10*Assumptions!$D$13,0)</f>
        <v>4</v>
      </c>
      <c r="M10" s="21" t="n">
        <f aca="false">ROUND(G10*Assumptions!$E$13,0)</f>
        <v>5</v>
      </c>
      <c r="N10" s="21" t="n">
        <f aca="false">ROUND(H10*Assumptions!$F$13,0)</f>
        <v>6</v>
      </c>
    </row>
    <row r="11" customFormat="false" ht="15" hidden="false" customHeight="true" outlineLevel="0" collapsed="false">
      <c r="A11" s="18" t="s">
        <v>124</v>
      </c>
      <c r="B11" s="18" t="s">
        <v>125</v>
      </c>
      <c r="C11" s="18" t="s">
        <v>93</v>
      </c>
      <c r="D11" s="19" t="n">
        <v>4</v>
      </c>
      <c r="E11" s="19" t="n">
        <v>6</v>
      </c>
      <c r="F11" s="19" t="n">
        <v>9</v>
      </c>
      <c r="G11" s="19" t="n">
        <v>13</v>
      </c>
      <c r="H11" s="19" t="n">
        <v>16</v>
      </c>
      <c r="I11" s="22"/>
      <c r="J11" s="23" t="n">
        <f aca="false">ROUND(D11*Assumptions!$B$13,0)</f>
        <v>4</v>
      </c>
      <c r="K11" s="23" t="n">
        <f aca="false">ROUND(E11*Assumptions!$C$13,0)</f>
        <v>6</v>
      </c>
      <c r="L11" s="23" t="n">
        <f aca="false">ROUND(F11*Assumptions!$D$13,0)</f>
        <v>9</v>
      </c>
      <c r="M11" s="23" t="n">
        <f aca="false">ROUND(G11*Assumptions!$E$13,0)</f>
        <v>13</v>
      </c>
      <c r="N11" s="23" t="n">
        <f aca="false">ROUND(H11*Assumptions!$F$13,0)</f>
        <v>16</v>
      </c>
    </row>
    <row r="12" customFormat="false" ht="15" hidden="false" customHeight="true" outlineLevel="0" collapsed="false">
      <c r="A12" s="5" t="s">
        <v>127</v>
      </c>
      <c r="B12" s="5" t="s">
        <v>128</v>
      </c>
      <c r="C12" s="5" t="s">
        <v>93</v>
      </c>
      <c r="D12" s="14" t="n">
        <v>0</v>
      </c>
      <c r="E12" s="14" t="n">
        <v>3</v>
      </c>
      <c r="F12" s="14" t="n">
        <v>8</v>
      </c>
      <c r="G12" s="14" t="n">
        <v>15</v>
      </c>
      <c r="H12" s="14" t="n">
        <v>24</v>
      </c>
      <c r="J12" s="21" t="n">
        <f aca="false">ROUND(D12*Assumptions!$B$13,0)</f>
        <v>0</v>
      </c>
      <c r="K12" s="21" t="n">
        <f aca="false">ROUND(E12*Assumptions!$C$13,0)</f>
        <v>3</v>
      </c>
      <c r="L12" s="21" t="n">
        <f aca="false">ROUND(F12*Assumptions!$D$13,0)</f>
        <v>8</v>
      </c>
      <c r="M12" s="21" t="n">
        <f aca="false">ROUND(G12*Assumptions!$E$13,0)</f>
        <v>15</v>
      </c>
      <c r="N12" s="21" t="n">
        <f aca="false">ROUND(H12*Assumptions!$F$13,0)</f>
        <v>24</v>
      </c>
    </row>
    <row r="13" customFormat="false" ht="15" hidden="false" customHeight="true" outlineLevel="0" collapsed="false">
      <c r="A13" s="18" t="s">
        <v>130</v>
      </c>
      <c r="B13" s="18" t="s">
        <v>131</v>
      </c>
      <c r="C13" s="18" t="s">
        <v>94</v>
      </c>
      <c r="D13" s="19" t="n">
        <v>50</v>
      </c>
      <c r="E13" s="19" t="n">
        <v>95</v>
      </c>
      <c r="F13" s="19" t="n">
        <v>135</v>
      </c>
      <c r="G13" s="19" t="n">
        <v>170</v>
      </c>
      <c r="H13" s="19" t="n">
        <v>200</v>
      </c>
      <c r="I13" s="22"/>
      <c r="J13" s="23" t="n">
        <f aca="false">ROUND(D13*Assumptions!$B$13,0)</f>
        <v>50</v>
      </c>
      <c r="K13" s="23" t="n">
        <f aca="false">ROUND(E13*Assumptions!$C$13,0)</f>
        <v>95</v>
      </c>
      <c r="L13" s="23" t="n">
        <f aca="false">ROUND(F13*Assumptions!$D$13,0)</f>
        <v>135</v>
      </c>
      <c r="M13" s="23" t="n">
        <f aca="false">ROUND(G13*Assumptions!$E$13,0)</f>
        <v>170</v>
      </c>
      <c r="N13" s="23" t="n">
        <f aca="false">ROUND(H13*Assumptions!$F$13,0)</f>
        <v>200</v>
      </c>
    </row>
    <row r="14" customFormat="false" ht="15" hidden="false" customHeight="true" outlineLevel="0" collapsed="false">
      <c r="A14" s="5" t="s">
        <v>133</v>
      </c>
      <c r="B14" s="5" t="s">
        <v>134</v>
      </c>
      <c r="C14" s="5" t="s">
        <v>94</v>
      </c>
      <c r="D14" s="14" t="n">
        <v>2</v>
      </c>
      <c r="E14" s="14" t="n">
        <v>4</v>
      </c>
      <c r="F14" s="14" t="n">
        <v>6</v>
      </c>
      <c r="G14" s="14" t="n">
        <v>8</v>
      </c>
      <c r="H14" s="14" t="n">
        <v>10</v>
      </c>
      <c r="J14" s="21" t="n">
        <f aca="false">ROUND(D14*Assumptions!$B$13,0)</f>
        <v>2</v>
      </c>
      <c r="K14" s="21" t="n">
        <f aca="false">ROUND(E14*Assumptions!$C$13,0)</f>
        <v>4</v>
      </c>
      <c r="L14" s="21" t="n">
        <f aca="false">ROUND(F14*Assumptions!$D$13,0)</f>
        <v>6</v>
      </c>
      <c r="M14" s="21" t="n">
        <f aca="false">ROUND(G14*Assumptions!$E$13,0)</f>
        <v>8</v>
      </c>
      <c r="N14" s="21" t="n">
        <f aca="false">ROUND(H14*Assumptions!$F$13,0)</f>
        <v>10</v>
      </c>
    </row>
    <row r="15" customFormat="false" ht="15" hidden="false" customHeight="true" outlineLevel="0" collapsed="false">
      <c r="A15" s="18" t="s">
        <v>136</v>
      </c>
      <c r="B15" s="18" t="s">
        <v>137</v>
      </c>
      <c r="C15" s="18" t="s">
        <v>94</v>
      </c>
      <c r="D15" s="19" t="n">
        <v>0</v>
      </c>
      <c r="E15" s="19" t="n">
        <v>0</v>
      </c>
      <c r="F15" s="19" t="n">
        <v>1</v>
      </c>
      <c r="G15" s="19" t="n">
        <v>2</v>
      </c>
      <c r="H15" s="19" t="n">
        <v>4</v>
      </c>
      <c r="I15" s="22"/>
      <c r="J15" s="23" t="n">
        <f aca="false">ROUND(D15*Assumptions!$B$13,0)</f>
        <v>0</v>
      </c>
      <c r="K15" s="23" t="n">
        <f aca="false">ROUND(E15*Assumptions!$C$13,0)</f>
        <v>0</v>
      </c>
      <c r="L15" s="23" t="n">
        <f aca="false">ROUND(F15*Assumptions!$D$13,0)</f>
        <v>1</v>
      </c>
      <c r="M15" s="23" t="n">
        <f aca="false">ROUND(G15*Assumptions!$E$13,0)</f>
        <v>2</v>
      </c>
      <c r="N15" s="23" t="n">
        <f aca="false">ROUND(H15*Assumptions!$F$13,0)</f>
        <v>4</v>
      </c>
    </row>
    <row r="16" customFormat="false" ht="15" hidden="false" customHeight="true" outlineLevel="0" collapsed="false">
      <c r="A16" s="5" t="s">
        <v>139</v>
      </c>
      <c r="B16" s="5" t="s">
        <v>140</v>
      </c>
      <c r="C16" s="5" t="s">
        <v>95</v>
      </c>
      <c r="D16" s="14" t="n">
        <v>0</v>
      </c>
      <c r="E16" s="14" t="n">
        <v>40</v>
      </c>
      <c r="F16" s="14" t="n">
        <v>85</v>
      </c>
      <c r="G16" s="14" t="n">
        <v>135</v>
      </c>
      <c r="H16" s="14" t="n">
        <v>180</v>
      </c>
      <c r="J16" s="21" t="n">
        <f aca="false">ROUND(D16*Assumptions!$B$13,0)</f>
        <v>0</v>
      </c>
      <c r="K16" s="21" t="n">
        <f aca="false">ROUND(E16*Assumptions!$C$13,0)</f>
        <v>40</v>
      </c>
      <c r="L16" s="21" t="n">
        <f aca="false">ROUND(F16*Assumptions!$D$13,0)</f>
        <v>85</v>
      </c>
      <c r="M16" s="21" t="n">
        <f aca="false">ROUND(G16*Assumptions!$E$13,0)</f>
        <v>135</v>
      </c>
      <c r="N16" s="21" t="n">
        <f aca="false">ROUND(H16*Assumptions!$F$13,0)</f>
        <v>180</v>
      </c>
    </row>
    <row r="17" customFormat="false" ht="15" hidden="false" customHeight="true" outlineLevel="0" collapsed="false">
      <c r="A17" s="18" t="s">
        <v>142</v>
      </c>
      <c r="B17" s="18" t="s">
        <v>143</v>
      </c>
      <c r="C17" s="18" t="s">
        <v>95</v>
      </c>
      <c r="D17" s="19" t="n">
        <v>0</v>
      </c>
      <c r="E17" s="19" t="n">
        <v>0</v>
      </c>
      <c r="F17" s="19" t="n">
        <v>30</v>
      </c>
      <c r="G17" s="19" t="n">
        <v>105</v>
      </c>
      <c r="H17" s="19" t="n">
        <v>300</v>
      </c>
      <c r="I17" s="22"/>
      <c r="J17" s="23" t="n">
        <f aca="false">ROUND(D17*Assumptions!$B$13,0)</f>
        <v>0</v>
      </c>
      <c r="K17" s="23" t="n">
        <f aca="false">ROUND(E17*Assumptions!$C$13,0)</f>
        <v>0</v>
      </c>
      <c r="L17" s="23" t="n">
        <f aca="false">ROUND(F17*Assumptions!$D$13,0)</f>
        <v>30</v>
      </c>
      <c r="M17" s="23" t="n">
        <f aca="false">ROUND(G17*Assumptions!$E$13,0)</f>
        <v>105</v>
      </c>
      <c r="N17" s="23" t="n">
        <f aca="false">ROUND(H17*Assumptions!$F$13,0)</f>
        <v>300</v>
      </c>
    </row>
    <row r="18" customFormat="false" ht="15" hidden="false" customHeight="true" outlineLevel="0" collapsed="false">
      <c r="A18" s="5" t="s">
        <v>145</v>
      </c>
      <c r="B18" s="5" t="s">
        <v>146</v>
      </c>
      <c r="C18" s="5" t="s">
        <v>95</v>
      </c>
      <c r="D18" s="14" t="n">
        <v>0</v>
      </c>
      <c r="E18" s="14" t="n">
        <v>0</v>
      </c>
      <c r="F18" s="14" t="n">
        <v>1</v>
      </c>
      <c r="G18" s="14" t="n">
        <v>3</v>
      </c>
      <c r="H18" s="14" t="n">
        <v>5</v>
      </c>
      <c r="J18" s="21" t="n">
        <f aca="false">ROUND(D18*Assumptions!$B$13,0)</f>
        <v>0</v>
      </c>
      <c r="K18" s="21" t="n">
        <f aca="false">ROUND(E18*Assumptions!$C$13,0)</f>
        <v>0</v>
      </c>
      <c r="L18" s="21" t="n">
        <f aca="false">ROUND(F18*Assumptions!$D$13,0)</f>
        <v>1</v>
      </c>
      <c r="M18" s="21" t="n">
        <f aca="false">ROUND(G18*Assumptions!$E$13,0)</f>
        <v>3</v>
      </c>
      <c r="N18" s="21" t="n">
        <f aca="false">ROUND(H18*Assumptions!$F$13,0)</f>
        <v>5</v>
      </c>
    </row>
    <row r="19" customFormat="false" ht="15" hidden="false" customHeight="true" outlineLevel="0" collapsed="false">
      <c r="A19" s="18" t="s">
        <v>148</v>
      </c>
      <c r="B19" s="18" t="s">
        <v>149</v>
      </c>
      <c r="C19" s="18" t="s">
        <v>96</v>
      </c>
      <c r="D19" s="19" t="n">
        <v>8</v>
      </c>
      <c r="E19" s="19" t="n">
        <v>16</v>
      </c>
      <c r="F19" s="19" t="n">
        <v>28</v>
      </c>
      <c r="G19" s="19" t="n">
        <v>42</v>
      </c>
      <c r="H19" s="19" t="n">
        <v>60</v>
      </c>
      <c r="I19" s="22"/>
      <c r="J19" s="23" t="n">
        <f aca="false">ROUND(D19*Assumptions!$B$13,0)</f>
        <v>8</v>
      </c>
      <c r="K19" s="23" t="n">
        <f aca="false">ROUND(E19*Assumptions!$C$13,0)</f>
        <v>16</v>
      </c>
      <c r="L19" s="23" t="n">
        <f aca="false">ROUND(F19*Assumptions!$D$13,0)</f>
        <v>28</v>
      </c>
      <c r="M19" s="23" t="n">
        <f aca="false">ROUND(G19*Assumptions!$E$13,0)</f>
        <v>42</v>
      </c>
      <c r="N19" s="23" t="n">
        <f aca="false">ROUND(H19*Assumptions!$F$13,0)</f>
        <v>60</v>
      </c>
    </row>
    <row r="20" customFormat="false" ht="15" hidden="false" customHeight="true" outlineLevel="0" collapsed="false">
      <c r="A20" s="5" t="s">
        <v>151</v>
      </c>
      <c r="B20" s="5" t="s">
        <v>152</v>
      </c>
      <c r="C20" s="5" t="s">
        <v>96</v>
      </c>
      <c r="D20" s="14" t="n">
        <v>1</v>
      </c>
      <c r="E20" s="14" t="n">
        <v>3</v>
      </c>
      <c r="F20" s="14" t="n">
        <v>5</v>
      </c>
      <c r="G20" s="14" t="n">
        <v>8</v>
      </c>
      <c r="H20" s="14" t="n">
        <v>12</v>
      </c>
      <c r="J20" s="21" t="n">
        <f aca="false">ROUND(D20*Assumptions!$B$13,0)</f>
        <v>1</v>
      </c>
      <c r="K20" s="21" t="n">
        <f aca="false">ROUND(E20*Assumptions!$C$13,0)</f>
        <v>3</v>
      </c>
      <c r="L20" s="21" t="n">
        <f aca="false">ROUND(F20*Assumptions!$D$13,0)</f>
        <v>5</v>
      </c>
      <c r="M20" s="21" t="n">
        <f aca="false">ROUND(G20*Assumptions!$E$13,0)</f>
        <v>8</v>
      </c>
      <c r="N20" s="21" t="n">
        <f aca="false">ROUND(H20*Assumptions!$F$13,0)</f>
        <v>12</v>
      </c>
    </row>
    <row r="21" customFormat="false" ht="15" hidden="false" customHeight="true" outlineLevel="0" collapsed="false">
      <c r="A21" s="18" t="s">
        <v>154</v>
      </c>
      <c r="B21" s="18" t="s">
        <v>155</v>
      </c>
      <c r="C21" s="18" t="s">
        <v>96</v>
      </c>
      <c r="D21" s="19" t="n">
        <v>0</v>
      </c>
      <c r="E21" s="19" t="n">
        <v>0</v>
      </c>
      <c r="F21" s="19" t="n">
        <v>1</v>
      </c>
      <c r="G21" s="19" t="n">
        <v>2</v>
      </c>
      <c r="H21" s="19" t="n">
        <v>3</v>
      </c>
      <c r="I21" s="22"/>
      <c r="J21" s="23" t="n">
        <f aca="false">ROUND(D21*Assumptions!$B$13,0)</f>
        <v>0</v>
      </c>
      <c r="K21" s="23" t="n">
        <f aca="false">ROUND(E21*Assumptions!$C$13,0)</f>
        <v>0</v>
      </c>
      <c r="L21" s="23" t="n">
        <f aca="false">ROUND(F21*Assumptions!$D$13,0)</f>
        <v>1</v>
      </c>
      <c r="M21" s="23" t="n">
        <f aca="false">ROUND(G21*Assumptions!$E$13,0)</f>
        <v>2</v>
      </c>
      <c r="N21" s="23" t="n">
        <f aca="false">ROUND(H21*Assumptions!$F$13,0)</f>
        <v>3</v>
      </c>
    </row>
    <row r="22" customFormat="false" ht="15" hidden="false" customHeight="true" outlineLevel="0" collapsed="false">
      <c r="A22" s="5" t="s">
        <v>157</v>
      </c>
      <c r="B22" s="5" t="s">
        <v>158</v>
      </c>
      <c r="C22" s="5" t="s">
        <v>97</v>
      </c>
      <c r="D22" s="14" t="n">
        <v>0</v>
      </c>
      <c r="E22" s="14" t="n">
        <v>45</v>
      </c>
      <c r="F22" s="14" t="n">
        <v>90</v>
      </c>
      <c r="G22" s="14" t="n">
        <v>145</v>
      </c>
      <c r="H22" s="14" t="n">
        <v>200</v>
      </c>
      <c r="J22" s="21" t="n">
        <f aca="false">ROUND(D22*Assumptions!$B$13,0)</f>
        <v>0</v>
      </c>
      <c r="K22" s="21" t="n">
        <f aca="false">ROUND(E22*Assumptions!$C$13,0)</f>
        <v>45</v>
      </c>
      <c r="L22" s="21" t="n">
        <f aca="false">ROUND(F22*Assumptions!$D$13,0)</f>
        <v>90</v>
      </c>
      <c r="M22" s="21" t="n">
        <f aca="false">ROUND(G22*Assumptions!$E$13,0)</f>
        <v>145</v>
      </c>
      <c r="N22" s="21" t="n">
        <f aca="false">ROUND(H22*Assumptions!$F$13,0)</f>
        <v>200</v>
      </c>
    </row>
    <row r="23" customFormat="false" ht="15" hidden="false" customHeight="true" outlineLevel="0" collapsed="false">
      <c r="A23" s="18" t="s">
        <v>160</v>
      </c>
      <c r="B23" s="18" t="s">
        <v>161</v>
      </c>
      <c r="C23" s="18" t="s">
        <v>97</v>
      </c>
      <c r="D23" s="19" t="n">
        <v>0</v>
      </c>
      <c r="E23" s="19" t="n">
        <v>13</v>
      </c>
      <c r="F23" s="19" t="n">
        <v>30</v>
      </c>
      <c r="G23" s="19" t="n">
        <v>55</v>
      </c>
      <c r="H23" s="19" t="n">
        <v>90</v>
      </c>
      <c r="I23" s="22"/>
      <c r="J23" s="23" t="n">
        <f aca="false">ROUND(D23*Assumptions!$B$13,0)</f>
        <v>0</v>
      </c>
      <c r="K23" s="23" t="n">
        <f aca="false">ROUND(E23*Assumptions!$C$13,0)</f>
        <v>13</v>
      </c>
      <c r="L23" s="23" t="n">
        <f aca="false">ROUND(F23*Assumptions!$D$13,0)</f>
        <v>30</v>
      </c>
      <c r="M23" s="23" t="n">
        <f aca="false">ROUND(G23*Assumptions!$E$13,0)</f>
        <v>55</v>
      </c>
      <c r="N23" s="23" t="n">
        <f aca="false">ROUND(H23*Assumptions!$F$13,0)</f>
        <v>90</v>
      </c>
    </row>
    <row r="24" customFormat="false" ht="15" hidden="false" customHeight="true" outlineLevel="0" collapsed="false">
      <c r="A24" s="5" t="s">
        <v>163</v>
      </c>
      <c r="B24" s="5" t="s">
        <v>164</v>
      </c>
      <c r="C24" s="5" t="s">
        <v>97</v>
      </c>
      <c r="D24" s="14" t="n">
        <v>0</v>
      </c>
      <c r="E24" s="14" t="n">
        <v>2</v>
      </c>
      <c r="F24" s="14" t="n">
        <v>6</v>
      </c>
      <c r="G24" s="14" t="n">
        <v>12</v>
      </c>
      <c r="H24" s="14" t="n">
        <v>20</v>
      </c>
      <c r="J24" s="21" t="n">
        <f aca="false">ROUND(D24*Assumptions!$B$13,0)</f>
        <v>0</v>
      </c>
      <c r="K24" s="21" t="n">
        <f aca="false">ROUND(E24*Assumptions!$C$13,0)</f>
        <v>2</v>
      </c>
      <c r="L24" s="21" t="n">
        <f aca="false">ROUND(F24*Assumptions!$D$13,0)</f>
        <v>6</v>
      </c>
      <c r="M24" s="21" t="n">
        <f aca="false">ROUND(G24*Assumptions!$E$13,0)</f>
        <v>12</v>
      </c>
      <c r="N24" s="21" t="n">
        <f aca="false">ROUND(H24*Assumptions!$F$13,0)</f>
        <v>20</v>
      </c>
    </row>
    <row r="25" customFormat="false" ht="15" hidden="false" customHeight="true" outlineLevel="0" collapsed="false">
      <c r="A25" s="18" t="s">
        <v>166</v>
      </c>
      <c r="B25" s="18" t="s">
        <v>167</v>
      </c>
      <c r="C25" s="18" t="s">
        <v>97</v>
      </c>
      <c r="D25" s="19" t="n">
        <v>0</v>
      </c>
      <c r="E25" s="19" t="n">
        <v>0</v>
      </c>
      <c r="F25" s="19" t="n">
        <v>1</v>
      </c>
      <c r="G25" s="19" t="n">
        <v>2</v>
      </c>
      <c r="H25" s="19" t="n">
        <v>4</v>
      </c>
      <c r="I25" s="22"/>
      <c r="J25" s="23" t="n">
        <f aca="false">ROUND(D25*Assumptions!$B$13,0)</f>
        <v>0</v>
      </c>
      <c r="K25" s="23" t="n">
        <f aca="false">ROUND(E25*Assumptions!$C$13,0)</f>
        <v>0</v>
      </c>
      <c r="L25" s="23" t="n">
        <f aca="false">ROUND(F25*Assumptions!$D$13,0)</f>
        <v>1</v>
      </c>
      <c r="M25" s="23" t="n">
        <f aca="false">ROUND(G25*Assumptions!$E$13,0)</f>
        <v>2</v>
      </c>
      <c r="N25" s="23" t="n">
        <f aca="false">ROUND(H25*Assumptions!$F$13,0)</f>
        <v>4</v>
      </c>
    </row>
    <row r="26" customFormat="false" ht="15" hidden="false" customHeight="true" outlineLevel="0" collapsed="false">
      <c r="A26" s="5" t="s">
        <v>169</v>
      </c>
      <c r="B26" s="5" t="s">
        <v>170</v>
      </c>
      <c r="C26" s="5" t="s">
        <v>97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J26" s="21" t="n">
        <f aca="false">ROUND(D26*Assumptions!$B$13,0)</f>
        <v>0</v>
      </c>
      <c r="K26" s="21" t="n">
        <f aca="false">ROUND(E26*Assumptions!$C$13,0)</f>
        <v>0</v>
      </c>
      <c r="L26" s="21" t="n">
        <f aca="false">ROUND(F26*Assumptions!$D$13,0)</f>
        <v>0</v>
      </c>
      <c r="M26" s="21" t="n">
        <f aca="false">ROUND(G26*Assumptions!$E$13,0)</f>
        <v>0</v>
      </c>
      <c r="N26" s="21" t="n">
        <f aca="false">ROUND(H26*Assumptions!$F$13,0)</f>
        <v>0</v>
      </c>
    </row>
    <row r="27" customFormat="false" ht="15" hidden="false" customHeight="true" outlineLevel="0" collapsed="false">
      <c r="A27" s="18" t="s">
        <v>172</v>
      </c>
      <c r="B27" s="18" t="s">
        <v>173</v>
      </c>
      <c r="C27" s="18" t="s">
        <v>98</v>
      </c>
      <c r="D27" s="19" t="n">
        <v>250</v>
      </c>
      <c r="E27" s="19" t="n">
        <v>400</v>
      </c>
      <c r="F27" s="19" t="n">
        <v>600</v>
      </c>
      <c r="G27" s="19" t="n">
        <v>880</v>
      </c>
      <c r="H27" s="19" t="n">
        <v>1250</v>
      </c>
      <c r="I27" s="22"/>
      <c r="J27" s="23" t="n">
        <f aca="false">ROUND(D27*Assumptions!$B$13,0)</f>
        <v>250</v>
      </c>
      <c r="K27" s="23" t="n">
        <f aca="false">ROUND(E27*Assumptions!$C$13,0)</f>
        <v>400</v>
      </c>
      <c r="L27" s="23" t="n">
        <f aca="false">ROUND(F27*Assumptions!$D$13,0)</f>
        <v>600</v>
      </c>
      <c r="M27" s="23" t="n">
        <f aca="false">ROUND(G27*Assumptions!$E$13,0)</f>
        <v>880</v>
      </c>
      <c r="N27" s="23" t="n">
        <f aca="false">ROUND(H27*Assumptions!$F$13,0)</f>
        <v>1250</v>
      </c>
    </row>
    <row r="28" customFormat="false" ht="15" hidden="false" customHeight="true" outlineLevel="0" collapsed="false">
      <c r="A28" s="5" t="s">
        <v>175</v>
      </c>
      <c r="B28" s="5" t="s">
        <v>176</v>
      </c>
      <c r="C28" s="5" t="s">
        <v>98</v>
      </c>
      <c r="D28" s="14" t="n">
        <v>1</v>
      </c>
      <c r="E28" s="14" t="n">
        <v>2</v>
      </c>
      <c r="F28" s="14" t="n">
        <v>3</v>
      </c>
      <c r="G28" s="14" t="n">
        <v>5</v>
      </c>
      <c r="H28" s="14" t="n">
        <v>8</v>
      </c>
      <c r="J28" s="21" t="n">
        <f aca="false">ROUND(D28*Assumptions!$B$13,0)</f>
        <v>1</v>
      </c>
      <c r="K28" s="21" t="n">
        <f aca="false">ROUND(E28*Assumptions!$C$13,0)</f>
        <v>2</v>
      </c>
      <c r="L28" s="21" t="n">
        <f aca="false">ROUND(F28*Assumptions!$D$13,0)</f>
        <v>3</v>
      </c>
      <c r="M28" s="21" t="n">
        <f aca="false">ROUND(G28*Assumptions!$E$13,0)</f>
        <v>5</v>
      </c>
      <c r="N28" s="21" t="n">
        <f aca="false">ROUND(H28*Assumptions!$F$13,0)</f>
        <v>8</v>
      </c>
    </row>
    <row r="29" customFormat="false" ht="15" hidden="false" customHeight="true" outlineLevel="0" collapsed="false">
      <c r="A29" s="18" t="s">
        <v>178</v>
      </c>
      <c r="B29" s="18" t="s">
        <v>179</v>
      </c>
      <c r="C29" s="18" t="s">
        <v>98</v>
      </c>
      <c r="D29" s="19" t="n">
        <v>2</v>
      </c>
      <c r="E29" s="19" t="n">
        <v>3</v>
      </c>
      <c r="F29" s="19" t="n">
        <v>6</v>
      </c>
      <c r="G29" s="19" t="n">
        <v>10</v>
      </c>
      <c r="H29" s="19" t="n">
        <v>16</v>
      </c>
      <c r="I29" s="22"/>
      <c r="J29" s="23" t="n">
        <f aca="false">ROUND(D29*Assumptions!$B$13,0)</f>
        <v>2</v>
      </c>
      <c r="K29" s="23" t="n">
        <f aca="false">ROUND(E29*Assumptions!$C$13,0)</f>
        <v>3</v>
      </c>
      <c r="L29" s="23" t="n">
        <f aca="false">ROUND(F29*Assumptions!$D$13,0)</f>
        <v>6</v>
      </c>
      <c r="M29" s="23" t="n">
        <f aca="false">ROUND(G29*Assumptions!$E$13,0)</f>
        <v>10</v>
      </c>
      <c r="N29" s="23" t="n">
        <f aca="false">ROUND(H29*Assumptions!$F$13,0)</f>
        <v>16</v>
      </c>
    </row>
    <row r="30" customFormat="false" ht="15" hidden="false" customHeight="true" outlineLevel="0" collapsed="false">
      <c r="A30" s="5" t="s">
        <v>181</v>
      </c>
      <c r="B30" s="5" t="s">
        <v>182</v>
      </c>
      <c r="C30" s="5" t="s">
        <v>98</v>
      </c>
      <c r="D30" s="14" t="n">
        <v>0</v>
      </c>
      <c r="E30" s="14" t="n">
        <v>3</v>
      </c>
      <c r="F30" s="14" t="n">
        <v>8</v>
      </c>
      <c r="G30" s="14" t="n">
        <v>15</v>
      </c>
      <c r="H30" s="14" t="n">
        <v>22</v>
      </c>
      <c r="J30" s="21" t="n">
        <f aca="false">ROUND(D30*Assumptions!$B$13,0)</f>
        <v>0</v>
      </c>
      <c r="K30" s="21" t="n">
        <f aca="false">ROUND(E30*Assumptions!$C$13,0)</f>
        <v>3</v>
      </c>
      <c r="L30" s="21" t="n">
        <f aca="false">ROUND(F30*Assumptions!$D$13,0)</f>
        <v>8</v>
      </c>
      <c r="M30" s="21" t="n">
        <f aca="false">ROUND(G30*Assumptions!$E$13,0)</f>
        <v>15</v>
      </c>
      <c r="N30" s="21" t="n">
        <f aca="false">ROUND(H30*Assumptions!$F$13,0)</f>
        <v>22</v>
      </c>
    </row>
    <row r="31" customFormat="false" ht="15" hidden="false" customHeight="true" outlineLevel="0" collapsed="false">
      <c r="A31" s="18" t="s">
        <v>184</v>
      </c>
      <c r="B31" s="18" t="s">
        <v>185</v>
      </c>
      <c r="C31" s="18" t="s">
        <v>99</v>
      </c>
      <c r="D31" s="19" t="n">
        <v>3</v>
      </c>
      <c r="E31" s="19" t="n">
        <v>5</v>
      </c>
      <c r="F31" s="19" t="n">
        <v>10</v>
      </c>
      <c r="G31" s="19" t="n">
        <v>15</v>
      </c>
      <c r="H31" s="19" t="n">
        <v>20</v>
      </c>
      <c r="I31" s="22"/>
      <c r="J31" s="23" t="n">
        <f aca="false">ROUND(D31*Assumptions!$B$13,0)</f>
        <v>3</v>
      </c>
      <c r="K31" s="23" t="n">
        <f aca="false">ROUND(E31*Assumptions!$C$13,0)</f>
        <v>5</v>
      </c>
      <c r="L31" s="23" t="n">
        <f aca="false">ROUND(F31*Assumptions!$D$13,0)</f>
        <v>10</v>
      </c>
      <c r="M31" s="23" t="n">
        <f aca="false">ROUND(G31*Assumptions!$E$13,0)</f>
        <v>15</v>
      </c>
      <c r="N31" s="23" t="n">
        <f aca="false">ROUND(H31*Assumptions!$F$13,0)</f>
        <v>20</v>
      </c>
    </row>
    <row r="32" customFormat="false" ht="15" hidden="false" customHeight="true" outlineLevel="0" collapsed="false">
      <c r="A32" s="5" t="s">
        <v>187</v>
      </c>
      <c r="B32" s="5" t="s">
        <v>188</v>
      </c>
      <c r="C32" s="5" t="s">
        <v>99</v>
      </c>
      <c r="D32" s="14" t="n">
        <v>1</v>
      </c>
      <c r="E32" s="14" t="n">
        <v>2</v>
      </c>
      <c r="F32" s="14" t="n">
        <v>4</v>
      </c>
      <c r="G32" s="14" t="n">
        <v>7</v>
      </c>
      <c r="H32" s="14" t="n">
        <v>10</v>
      </c>
      <c r="J32" s="21" t="n">
        <f aca="false">ROUND(D32*Assumptions!$B$13,0)</f>
        <v>1</v>
      </c>
      <c r="K32" s="21" t="n">
        <f aca="false">ROUND(E32*Assumptions!$C$13,0)</f>
        <v>2</v>
      </c>
      <c r="L32" s="21" t="n">
        <f aca="false">ROUND(F32*Assumptions!$D$13,0)</f>
        <v>4</v>
      </c>
      <c r="M32" s="21" t="n">
        <f aca="false">ROUND(G32*Assumptions!$E$13,0)</f>
        <v>7</v>
      </c>
      <c r="N32" s="21" t="n">
        <f aca="false">ROUND(H32*Assumptions!$F$13,0)</f>
        <v>10</v>
      </c>
    </row>
    <row r="33" customFormat="false" ht="15" hidden="false" customHeight="true" outlineLevel="0" collapsed="false">
      <c r="A33" s="18" t="s">
        <v>190</v>
      </c>
      <c r="B33" s="18" t="s">
        <v>191</v>
      </c>
      <c r="C33" s="18" t="s">
        <v>99</v>
      </c>
      <c r="D33" s="19" t="n">
        <v>0</v>
      </c>
      <c r="E33" s="19" t="n">
        <v>0</v>
      </c>
      <c r="F33" s="19" t="n">
        <v>0</v>
      </c>
      <c r="G33" s="19" t="n">
        <v>1</v>
      </c>
      <c r="H33" s="19" t="n">
        <v>1</v>
      </c>
      <c r="I33" s="22"/>
      <c r="J33" s="23" t="n">
        <f aca="false">ROUND(D33*Assumptions!$B$13,0)</f>
        <v>0</v>
      </c>
      <c r="K33" s="23" t="n">
        <f aca="false">ROUND(E33*Assumptions!$C$13,0)</f>
        <v>0</v>
      </c>
      <c r="L33" s="23" t="n">
        <f aca="false">ROUND(F33*Assumptions!$D$13,0)</f>
        <v>0</v>
      </c>
      <c r="M33" s="23" t="n">
        <f aca="false">ROUND(G33*Assumptions!$E$13,0)</f>
        <v>1</v>
      </c>
      <c r="N33" s="23" t="n">
        <f aca="false">ROUND(H33*Assumptions!$F$13,0)</f>
        <v>1</v>
      </c>
    </row>
    <row r="34" customFormat="false" ht="15" hidden="false" customHeight="true" outlineLevel="0" collapsed="false">
      <c r="A34" s="5" t="s">
        <v>193</v>
      </c>
      <c r="B34" s="5" t="s">
        <v>194</v>
      </c>
      <c r="C34" s="5" t="s">
        <v>100</v>
      </c>
      <c r="D34" s="14" t="n">
        <v>0</v>
      </c>
      <c r="E34" s="14" t="n">
        <v>5</v>
      </c>
      <c r="F34" s="14" t="n">
        <v>15</v>
      </c>
      <c r="G34" s="14" t="n">
        <v>28</v>
      </c>
      <c r="H34" s="14" t="n">
        <v>45</v>
      </c>
      <c r="J34" s="21" t="n">
        <f aca="false">ROUND(D34*Assumptions!$B$13,0)</f>
        <v>0</v>
      </c>
      <c r="K34" s="21" t="n">
        <f aca="false">ROUND(E34*Assumptions!$C$13,0)</f>
        <v>5</v>
      </c>
      <c r="L34" s="21" t="n">
        <f aca="false">ROUND(F34*Assumptions!$D$13,0)</f>
        <v>15</v>
      </c>
      <c r="M34" s="21" t="n">
        <f aca="false">ROUND(G34*Assumptions!$E$13,0)</f>
        <v>28</v>
      </c>
      <c r="N34" s="21" t="n">
        <f aca="false">ROUND(H34*Assumptions!$F$13,0)</f>
        <v>45</v>
      </c>
    </row>
    <row r="35" customFormat="false" ht="15" hidden="false" customHeight="true" outlineLevel="0" collapsed="false">
      <c r="A35" s="18" t="s">
        <v>196</v>
      </c>
      <c r="B35" s="18" t="s">
        <v>197</v>
      </c>
      <c r="C35" s="18" t="s">
        <v>100</v>
      </c>
      <c r="D35" s="19" t="n">
        <v>0</v>
      </c>
      <c r="E35" s="19" t="n">
        <v>0</v>
      </c>
      <c r="F35" s="19" t="n">
        <v>2</v>
      </c>
      <c r="G35" s="19" t="n">
        <v>4</v>
      </c>
      <c r="H35" s="19" t="n">
        <v>6</v>
      </c>
      <c r="I35" s="22"/>
      <c r="J35" s="23" t="n">
        <f aca="false">ROUND(D35*Assumptions!$B$13,0)</f>
        <v>0</v>
      </c>
      <c r="K35" s="23" t="n">
        <f aca="false">ROUND(E35*Assumptions!$C$13,0)</f>
        <v>0</v>
      </c>
      <c r="L35" s="23" t="n">
        <f aca="false">ROUND(F35*Assumptions!$D$13,0)</f>
        <v>2</v>
      </c>
      <c r="M35" s="23" t="n">
        <f aca="false">ROUND(G35*Assumptions!$E$13,0)</f>
        <v>4</v>
      </c>
      <c r="N35" s="23" t="n">
        <f aca="false">ROUND(H35*Assumptions!$F$13,0)</f>
        <v>6</v>
      </c>
    </row>
    <row r="36" customFormat="false" ht="15" hidden="false" customHeight="true" outlineLevel="0" collapsed="false">
      <c r="A36" s="5" t="s">
        <v>199</v>
      </c>
      <c r="B36" s="5" t="s">
        <v>200</v>
      </c>
      <c r="C36" s="5" t="s">
        <v>100</v>
      </c>
      <c r="D36" s="14" t="n">
        <v>0</v>
      </c>
      <c r="E36" s="14" t="n">
        <v>0</v>
      </c>
      <c r="F36" s="14" t="n">
        <v>0</v>
      </c>
      <c r="G36" s="14" t="n">
        <v>1</v>
      </c>
      <c r="H36" s="14" t="n">
        <v>2</v>
      </c>
      <c r="J36" s="21" t="n">
        <f aca="false">ROUND(D36*Assumptions!$B$13,0)</f>
        <v>0</v>
      </c>
      <c r="K36" s="21" t="n">
        <f aca="false">ROUND(E36*Assumptions!$C$13,0)</f>
        <v>0</v>
      </c>
      <c r="L36" s="21" t="n">
        <f aca="false">ROUND(F36*Assumptions!$D$13,0)</f>
        <v>0</v>
      </c>
      <c r="M36" s="21" t="n">
        <f aca="false">ROUND(G36*Assumptions!$E$13,0)</f>
        <v>1</v>
      </c>
      <c r="N36" s="21" t="n">
        <f aca="false">ROUND(H36*Assumptions!$F$13,0)</f>
        <v>2</v>
      </c>
    </row>
    <row r="37" customFormat="false" ht="15" hidden="false" customHeight="true" outlineLevel="0" collapsed="false">
      <c r="A37" s="18" t="s">
        <v>202</v>
      </c>
      <c r="B37" s="18" t="s">
        <v>203</v>
      </c>
      <c r="C37" s="18" t="s">
        <v>101</v>
      </c>
      <c r="D37" s="19" t="n">
        <v>0</v>
      </c>
      <c r="E37" s="19" t="n">
        <v>50</v>
      </c>
      <c r="F37" s="19" t="n">
        <v>110</v>
      </c>
      <c r="G37" s="19" t="n">
        <v>200</v>
      </c>
      <c r="H37" s="19" t="n">
        <v>300</v>
      </c>
      <c r="I37" s="22"/>
      <c r="J37" s="23" t="n">
        <f aca="false">ROUND(D37*Assumptions!$B$13,0)</f>
        <v>0</v>
      </c>
      <c r="K37" s="23" t="n">
        <f aca="false">ROUND(E37*Assumptions!$C$13,0)</f>
        <v>50</v>
      </c>
      <c r="L37" s="23" t="n">
        <f aca="false">ROUND(F37*Assumptions!$D$13,0)</f>
        <v>110</v>
      </c>
      <c r="M37" s="23" t="n">
        <f aca="false">ROUND(G37*Assumptions!$E$13,0)</f>
        <v>200</v>
      </c>
      <c r="N37" s="23" t="n">
        <f aca="false">ROUND(H37*Assumptions!$F$13,0)</f>
        <v>300</v>
      </c>
    </row>
    <row r="38" customFormat="false" ht="15" hidden="false" customHeight="true" outlineLevel="0" collapsed="false">
      <c r="A38" s="5" t="s">
        <v>205</v>
      </c>
      <c r="B38" s="5" t="s">
        <v>206</v>
      </c>
      <c r="C38" s="5" t="s">
        <v>101</v>
      </c>
      <c r="D38" s="14" t="n">
        <v>0</v>
      </c>
      <c r="E38" s="14" t="n">
        <v>0</v>
      </c>
      <c r="F38" s="14" t="n">
        <v>2</v>
      </c>
      <c r="G38" s="14" t="n">
        <v>4</v>
      </c>
      <c r="H38" s="14" t="n">
        <v>6</v>
      </c>
      <c r="J38" s="21" t="n">
        <f aca="false">ROUND(D38*Assumptions!$B$13,0)</f>
        <v>0</v>
      </c>
      <c r="K38" s="21" t="n">
        <f aca="false">ROUND(E38*Assumptions!$C$13,0)</f>
        <v>0</v>
      </c>
      <c r="L38" s="21" t="n">
        <f aca="false">ROUND(F38*Assumptions!$D$13,0)</f>
        <v>2</v>
      </c>
      <c r="M38" s="21" t="n">
        <f aca="false">ROUND(G38*Assumptions!$E$13,0)</f>
        <v>4</v>
      </c>
      <c r="N38" s="21" t="n">
        <f aca="false">ROUND(H38*Assumptions!$F$13,0)</f>
        <v>6</v>
      </c>
    </row>
    <row r="40" customFormat="false" ht="15" hidden="false" customHeight="true" outlineLevel="0" collapsed="false">
      <c r="B40" s="3" t="s">
        <v>220</v>
      </c>
    </row>
    <row r="41" customFormat="false" ht="15" hidden="false" customHeight="true" outlineLevel="0" collapsed="false">
      <c r="B41" s="3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3" min="3" style="1" width="22"/>
    <col collapsed="false" customWidth="true" hidden="false" outlineLevel="0" max="8" min="4" style="1" width="16"/>
    <col collapsed="false" customWidth="true" hidden="false" outlineLevel="0" max="9" min="9" style="1" width="3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222</v>
      </c>
    </row>
    <row r="2" customFormat="false" ht="15" hidden="false" customHeight="true" outlineLevel="0" collapsed="false">
      <c r="A2" s="3" t="s">
        <v>223</v>
      </c>
    </row>
    <row r="3" customFormat="false" ht="15" hidden="false" customHeight="true" outlineLevel="0" collapsed="false">
      <c r="A3" s="8" t="s">
        <v>105</v>
      </c>
      <c r="B3" s="9" t="s">
        <v>106</v>
      </c>
      <c r="C3" s="9" t="s">
        <v>78</v>
      </c>
      <c r="D3" s="9" t="s">
        <v>36</v>
      </c>
      <c r="E3" s="9" t="s">
        <v>38</v>
      </c>
      <c r="F3" s="9" t="s">
        <v>40</v>
      </c>
      <c r="G3" s="9" t="s">
        <v>41</v>
      </c>
      <c r="H3" s="9" t="s">
        <v>42</v>
      </c>
      <c r="J3" s="9" t="s">
        <v>224</v>
      </c>
    </row>
    <row r="4" customFormat="false" ht="15" hidden="false" customHeight="true" outlineLevel="0" collapsed="false">
      <c r="A4" s="5" t="s">
        <v>79</v>
      </c>
      <c r="B4" s="5" t="s">
        <v>109</v>
      </c>
      <c r="C4" s="5" t="s">
        <v>92</v>
      </c>
      <c r="D4" s="24" t="n">
        <f aca="false">Customers!J4*Pricing!$D$4</f>
        <v>4500000</v>
      </c>
      <c r="E4" s="24" t="n">
        <f aca="false">Customers!K4*Pricing!$D$4</f>
        <v>8625000</v>
      </c>
      <c r="F4" s="24" t="n">
        <f aca="false">Customers!L4*Pricing!$D$4</f>
        <v>16125000</v>
      </c>
      <c r="G4" s="24" t="n">
        <f aca="false">Customers!M4*Pricing!$D$4</f>
        <v>26250000</v>
      </c>
      <c r="H4" s="24" t="n">
        <f aca="false">Customers!N4*Pricing!$D$4</f>
        <v>39375000</v>
      </c>
      <c r="J4" s="25" t="s">
        <v>225</v>
      </c>
    </row>
    <row r="5" customFormat="false" ht="15" hidden="false" customHeight="true" outlineLevel="0" collapsed="false">
      <c r="A5" s="18" t="s">
        <v>80</v>
      </c>
      <c r="B5" s="18" t="s">
        <v>111</v>
      </c>
      <c r="C5" s="18" t="s">
        <v>92</v>
      </c>
      <c r="D5" s="26" t="n">
        <f aca="false">Customers!J5*Pricing!$D$5</f>
        <v>15750000</v>
      </c>
      <c r="E5" s="26" t="n">
        <f aca="false">Customers!K5*Pricing!$D$5</f>
        <v>28875000</v>
      </c>
      <c r="F5" s="26" t="n">
        <f aca="false">Customers!L5*Pricing!$D$5</f>
        <v>50750000</v>
      </c>
      <c r="G5" s="26" t="n">
        <f aca="false">Customers!M5*Pricing!$D$5</f>
        <v>82250000</v>
      </c>
      <c r="H5" s="26" t="n">
        <f aca="false">Customers!N5*Pricing!$D$5</f>
        <v>122500000</v>
      </c>
      <c r="J5" s="25" t="s">
        <v>225</v>
      </c>
    </row>
    <row r="6" customFormat="false" ht="15" hidden="false" customHeight="true" outlineLevel="0" collapsed="false">
      <c r="A6" s="5" t="s">
        <v>81</v>
      </c>
      <c r="B6" s="5" t="s">
        <v>113</v>
      </c>
      <c r="C6" s="5" t="s">
        <v>92</v>
      </c>
      <c r="D6" s="24" t="n">
        <f aca="false">Customers!J6*Pricing!$D$6</f>
        <v>9375000</v>
      </c>
      <c r="E6" s="24" t="n">
        <f aca="false">Customers!K6*Pricing!$D$6</f>
        <v>18000000</v>
      </c>
      <c r="F6" s="24" t="n">
        <f aca="false">Customers!L6*Pricing!$D$6</f>
        <v>33000000</v>
      </c>
      <c r="G6" s="24" t="n">
        <f aca="false">Customers!M6*Pricing!$D$6</f>
        <v>56250000</v>
      </c>
      <c r="H6" s="24" t="n">
        <f aca="false">Customers!N6*Pricing!$D$6</f>
        <v>88125000</v>
      </c>
      <c r="J6" s="25" t="s">
        <v>225</v>
      </c>
    </row>
    <row r="7" customFormat="false" ht="15" hidden="false" customHeight="true" outlineLevel="0" collapsed="false">
      <c r="A7" s="18" t="s">
        <v>82</v>
      </c>
      <c r="B7" s="18" t="s">
        <v>115</v>
      </c>
      <c r="C7" s="18" t="s">
        <v>92</v>
      </c>
      <c r="D7" s="26" t="n">
        <f aca="false">Customers!J7*Pricing!$D$7</f>
        <v>13750000</v>
      </c>
      <c r="E7" s="26" t="n">
        <f aca="false">Customers!K7*Pricing!$D$7</f>
        <v>28875000</v>
      </c>
      <c r="F7" s="26" t="n">
        <f aca="false">Customers!L7*Pricing!$D$7</f>
        <v>55000000</v>
      </c>
      <c r="G7" s="26" t="n">
        <f aca="false">Customers!M7*Pricing!$D$7</f>
        <v>90750000</v>
      </c>
      <c r="H7" s="26" t="n">
        <f aca="false">Customers!N7*Pricing!$D$7</f>
        <v>140250000</v>
      </c>
      <c r="J7" s="25" t="s">
        <v>225</v>
      </c>
    </row>
    <row r="8" customFormat="false" ht="15" hidden="false" customHeight="true" outlineLevel="0" collapsed="false">
      <c r="A8" s="5" t="s">
        <v>83</v>
      </c>
      <c r="B8" s="5" t="s">
        <v>117</v>
      </c>
      <c r="C8" s="5" t="s">
        <v>92</v>
      </c>
      <c r="D8" s="24" t="n">
        <f aca="false">Customers!J8*Pricing!$D$8</f>
        <v>6500000</v>
      </c>
      <c r="E8" s="24" t="n">
        <f aca="false">Customers!K8*Pricing!$D$8</f>
        <v>16250000</v>
      </c>
      <c r="F8" s="24" t="n">
        <f aca="false">Customers!L8*Pricing!$D$8</f>
        <v>35750000</v>
      </c>
      <c r="G8" s="24" t="n">
        <f aca="false">Customers!M8*Pricing!$D$8</f>
        <v>65000000</v>
      </c>
      <c r="H8" s="24" t="n">
        <f aca="false">Customers!N8*Pricing!$D$8</f>
        <v>104000000</v>
      </c>
      <c r="J8" s="25" t="s">
        <v>225</v>
      </c>
    </row>
    <row r="9" customFormat="false" ht="15" hidden="false" customHeight="true" outlineLevel="0" collapsed="false">
      <c r="A9" s="18" t="s">
        <v>84</v>
      </c>
      <c r="B9" s="18" t="s">
        <v>119</v>
      </c>
      <c r="C9" s="18" t="s">
        <v>92</v>
      </c>
      <c r="D9" s="26" t="n">
        <f aca="false">Customers!J9*Pricing!$D$9</f>
        <v>0</v>
      </c>
      <c r="E9" s="26" t="n">
        <f aca="false">Customers!K9*Pricing!$D$9</f>
        <v>15000000</v>
      </c>
      <c r="F9" s="26" t="n">
        <f aca="false">Customers!L9*Pricing!$D$9</f>
        <v>30000000</v>
      </c>
      <c r="G9" s="26" t="n">
        <f aca="false">Customers!M9*Pricing!$D$9</f>
        <v>60000000</v>
      </c>
      <c r="H9" s="26" t="n">
        <f aca="false">Customers!N9*Pricing!$D$9</f>
        <v>90000000</v>
      </c>
      <c r="J9" s="25" t="s">
        <v>225</v>
      </c>
    </row>
    <row r="10" customFormat="false" ht="15" hidden="false" customHeight="true" outlineLevel="0" collapsed="false">
      <c r="A10" s="5" t="s">
        <v>121</v>
      </c>
      <c r="B10" s="5" t="s">
        <v>122</v>
      </c>
      <c r="C10" s="5" t="s">
        <v>93</v>
      </c>
      <c r="D10" s="24" t="n">
        <f aca="false">Customers!J10*Pricing!$D$10</f>
        <v>30000000</v>
      </c>
      <c r="E10" s="24" t="n">
        <f aca="false">Customers!K10*Pricing!$D$10</f>
        <v>30000000</v>
      </c>
      <c r="F10" s="24" t="n">
        <f aca="false">Customers!L10*Pricing!$D$10</f>
        <v>60000000</v>
      </c>
      <c r="G10" s="24" t="n">
        <f aca="false">Customers!M10*Pricing!$D$10</f>
        <v>75000000</v>
      </c>
      <c r="H10" s="24" t="n">
        <f aca="false">Customers!N10*Pricing!$D$10</f>
        <v>90000000</v>
      </c>
      <c r="J10" s="25" t="s">
        <v>225</v>
      </c>
    </row>
    <row r="11" customFormat="false" ht="15" hidden="false" customHeight="true" outlineLevel="0" collapsed="false">
      <c r="A11" s="18" t="s">
        <v>124</v>
      </c>
      <c r="B11" s="18" t="s">
        <v>125</v>
      </c>
      <c r="C11" s="18" t="s">
        <v>93</v>
      </c>
      <c r="D11" s="26" t="n">
        <f aca="false">Customers!J11*Pricing!$D$11</f>
        <v>20000000</v>
      </c>
      <c r="E11" s="26" t="n">
        <f aca="false">Customers!K11*Pricing!$D$11</f>
        <v>30000000</v>
      </c>
      <c r="F11" s="26" t="n">
        <f aca="false">Customers!L11*Pricing!$D$11</f>
        <v>45000000</v>
      </c>
      <c r="G11" s="26" t="n">
        <f aca="false">Customers!M11*Pricing!$D$11</f>
        <v>65000000</v>
      </c>
      <c r="H11" s="26" t="n">
        <f aca="false">Customers!N11*Pricing!$D$11</f>
        <v>80000000</v>
      </c>
      <c r="J11" s="25" t="s">
        <v>225</v>
      </c>
    </row>
    <row r="12" customFormat="false" ht="15" hidden="false" customHeight="true" outlineLevel="0" collapsed="false">
      <c r="A12" s="5" t="s">
        <v>127</v>
      </c>
      <c r="B12" s="5" t="s">
        <v>128</v>
      </c>
      <c r="C12" s="5" t="s">
        <v>93</v>
      </c>
      <c r="D12" s="24" t="n">
        <f aca="false">Customers!J12*Pricing!$D$12</f>
        <v>0</v>
      </c>
      <c r="E12" s="24" t="n">
        <f aca="false">Customers!K12*Pricing!$D$12</f>
        <v>4500000</v>
      </c>
      <c r="F12" s="24" t="n">
        <f aca="false">Customers!L12*Pricing!$D$12</f>
        <v>12000000</v>
      </c>
      <c r="G12" s="24" t="n">
        <f aca="false">Customers!M12*Pricing!$D$12</f>
        <v>22500000</v>
      </c>
      <c r="H12" s="24" t="n">
        <f aca="false">Customers!N12*Pricing!$D$12</f>
        <v>36000000</v>
      </c>
      <c r="J12" s="25" t="s">
        <v>225</v>
      </c>
    </row>
    <row r="13" customFormat="false" ht="15" hidden="false" customHeight="true" outlineLevel="0" collapsed="false">
      <c r="A13" s="18" t="s">
        <v>130</v>
      </c>
      <c r="B13" s="18" t="s">
        <v>131</v>
      </c>
      <c r="C13" s="18" t="s">
        <v>94</v>
      </c>
      <c r="D13" s="26" t="n">
        <f aca="false">Customers!J13*Pricing!$D$13</f>
        <v>40000000</v>
      </c>
      <c r="E13" s="26" t="n">
        <f aca="false">Customers!K13*Pricing!$D$13</f>
        <v>76000000</v>
      </c>
      <c r="F13" s="26" t="n">
        <f aca="false">Customers!L13*Pricing!$D$13</f>
        <v>108000000</v>
      </c>
      <c r="G13" s="26" t="n">
        <f aca="false">Customers!M13*Pricing!$D$13</f>
        <v>136000000</v>
      </c>
      <c r="H13" s="26" t="n">
        <f aca="false">Customers!N13*Pricing!$D$13</f>
        <v>160000000</v>
      </c>
      <c r="J13" s="25" t="s">
        <v>226</v>
      </c>
    </row>
    <row r="14" customFormat="false" ht="15" hidden="false" customHeight="true" outlineLevel="0" collapsed="false">
      <c r="A14" s="5" t="s">
        <v>133</v>
      </c>
      <c r="B14" s="5" t="s">
        <v>134</v>
      </c>
      <c r="C14" s="5" t="s">
        <v>94</v>
      </c>
      <c r="D14" s="24" t="n">
        <f aca="false">Customers!J14*Pricing!$D$14</f>
        <v>20000000</v>
      </c>
      <c r="E14" s="24" t="n">
        <f aca="false">Customers!K14*Pricing!$D$14</f>
        <v>40000000</v>
      </c>
      <c r="F14" s="24" t="n">
        <f aca="false">Customers!L14*Pricing!$D$14</f>
        <v>60000000</v>
      </c>
      <c r="G14" s="24" t="n">
        <f aca="false">Customers!M14*Pricing!$D$14</f>
        <v>80000000</v>
      </c>
      <c r="H14" s="24" t="n">
        <f aca="false">Customers!N14*Pricing!$D$14</f>
        <v>100000000</v>
      </c>
      <c r="J14" s="25" t="s">
        <v>226</v>
      </c>
    </row>
    <row r="15" customFormat="false" ht="15" hidden="false" customHeight="true" outlineLevel="0" collapsed="false">
      <c r="A15" s="18" t="s">
        <v>136</v>
      </c>
      <c r="B15" s="18" t="s">
        <v>137</v>
      </c>
      <c r="C15" s="18" t="s">
        <v>94</v>
      </c>
      <c r="D15" s="26" t="n">
        <f aca="false">Customers!J15*Pricing!$D$15</f>
        <v>0</v>
      </c>
      <c r="E15" s="26" t="n">
        <f aca="false">Customers!K15*Pricing!$D$15</f>
        <v>0</v>
      </c>
      <c r="F15" s="26" t="n">
        <f aca="false">Customers!L15*Pricing!$D$15</f>
        <v>20000000</v>
      </c>
      <c r="G15" s="26" t="n">
        <f aca="false">Customers!M15*Pricing!$D$15</f>
        <v>40000000</v>
      </c>
      <c r="H15" s="26" t="n">
        <f aca="false">Customers!N15*Pricing!$D$15</f>
        <v>80000000</v>
      </c>
      <c r="J15" s="25" t="s">
        <v>226</v>
      </c>
    </row>
    <row r="16" customFormat="false" ht="15" hidden="false" customHeight="true" outlineLevel="0" collapsed="false">
      <c r="A16" s="5" t="s">
        <v>139</v>
      </c>
      <c r="B16" s="5" t="s">
        <v>140</v>
      </c>
      <c r="C16" s="5" t="s">
        <v>95</v>
      </c>
      <c r="D16" s="24" t="n">
        <f aca="false">Customers!J16*Pricing!$D$16</f>
        <v>0</v>
      </c>
      <c r="E16" s="24" t="n">
        <f aca="false">Customers!K16*Pricing!$D$16</f>
        <v>18000000</v>
      </c>
      <c r="F16" s="24" t="n">
        <f aca="false">Customers!L16*Pricing!$D$16</f>
        <v>38250000</v>
      </c>
      <c r="G16" s="24" t="n">
        <f aca="false">Customers!M16*Pricing!$D$16</f>
        <v>60750000</v>
      </c>
      <c r="H16" s="24" t="n">
        <f aca="false">Customers!N16*Pricing!$D$16</f>
        <v>81000000</v>
      </c>
      <c r="J16" s="25" t="s">
        <v>226</v>
      </c>
    </row>
    <row r="17" customFormat="false" ht="15" hidden="false" customHeight="true" outlineLevel="0" collapsed="false">
      <c r="A17" s="18" t="s">
        <v>142</v>
      </c>
      <c r="B17" s="18" t="s">
        <v>143</v>
      </c>
      <c r="C17" s="18" t="s">
        <v>95</v>
      </c>
      <c r="D17" s="26" t="n">
        <f aca="false">Customers!J17*Pricing!$D$17</f>
        <v>0</v>
      </c>
      <c r="E17" s="26" t="n">
        <f aca="false">Customers!K17*Pricing!$D$17</f>
        <v>0</v>
      </c>
      <c r="F17" s="26" t="n">
        <f aca="false">Customers!L17*Pricing!$D$17</f>
        <v>3600000</v>
      </c>
      <c r="G17" s="26" t="n">
        <f aca="false">Customers!M17*Pricing!$D$17</f>
        <v>12600000</v>
      </c>
      <c r="H17" s="26" t="n">
        <f aca="false">Customers!N17*Pricing!$D$17</f>
        <v>36000000</v>
      </c>
      <c r="J17" s="25" t="s">
        <v>226</v>
      </c>
    </row>
    <row r="18" customFormat="false" ht="15" hidden="false" customHeight="true" outlineLevel="0" collapsed="false">
      <c r="A18" s="5" t="s">
        <v>145</v>
      </c>
      <c r="B18" s="5" t="s">
        <v>146</v>
      </c>
      <c r="C18" s="5" t="s">
        <v>95</v>
      </c>
      <c r="D18" s="24" t="n">
        <f aca="false">Customers!J18*Pricing!$D$18</f>
        <v>0</v>
      </c>
      <c r="E18" s="24" t="n">
        <f aca="false">Customers!K18*Pricing!$D$18</f>
        <v>0</v>
      </c>
      <c r="F18" s="24" t="n">
        <f aca="false">Customers!L18*Pricing!$D$18</f>
        <v>6000000</v>
      </c>
      <c r="G18" s="24" t="n">
        <f aca="false">Customers!M18*Pricing!$D$18</f>
        <v>18000000</v>
      </c>
      <c r="H18" s="24" t="n">
        <f aca="false">Customers!N18*Pricing!$D$18</f>
        <v>30000000</v>
      </c>
      <c r="J18" s="25" t="s">
        <v>226</v>
      </c>
    </row>
    <row r="19" customFormat="false" ht="15" hidden="false" customHeight="true" outlineLevel="0" collapsed="false">
      <c r="A19" s="18" t="s">
        <v>148</v>
      </c>
      <c r="B19" s="18" t="s">
        <v>149</v>
      </c>
      <c r="C19" s="18" t="s">
        <v>96</v>
      </c>
      <c r="D19" s="26" t="n">
        <f aca="false">Customers!J19*Pricing!$D$19</f>
        <v>12000000</v>
      </c>
      <c r="E19" s="26" t="n">
        <f aca="false">Customers!K19*Pricing!$D$19</f>
        <v>24000000</v>
      </c>
      <c r="F19" s="26" t="n">
        <f aca="false">Customers!L19*Pricing!$D$19</f>
        <v>42000000</v>
      </c>
      <c r="G19" s="26" t="n">
        <f aca="false">Customers!M19*Pricing!$D$19</f>
        <v>63000000</v>
      </c>
      <c r="H19" s="26" t="n">
        <f aca="false">Customers!N19*Pricing!$D$19</f>
        <v>90000000</v>
      </c>
      <c r="J19" s="25" t="s">
        <v>225</v>
      </c>
    </row>
    <row r="20" customFormat="false" ht="15" hidden="false" customHeight="true" outlineLevel="0" collapsed="false">
      <c r="A20" s="5" t="s">
        <v>151</v>
      </c>
      <c r="B20" s="5" t="s">
        <v>152</v>
      </c>
      <c r="C20" s="5" t="s">
        <v>96</v>
      </c>
      <c r="D20" s="24" t="n">
        <f aca="false">Customers!J20*Pricing!$D$20</f>
        <v>7000000</v>
      </c>
      <c r="E20" s="24" t="n">
        <f aca="false">Customers!K20*Pricing!$D$20</f>
        <v>21000000</v>
      </c>
      <c r="F20" s="24" t="n">
        <f aca="false">Customers!L20*Pricing!$D$20</f>
        <v>35000000</v>
      </c>
      <c r="G20" s="24" t="n">
        <f aca="false">Customers!M20*Pricing!$D$20</f>
        <v>56000000</v>
      </c>
      <c r="H20" s="24" t="n">
        <f aca="false">Customers!N20*Pricing!$D$20</f>
        <v>84000000</v>
      </c>
      <c r="J20" s="25" t="s">
        <v>225</v>
      </c>
    </row>
    <row r="21" customFormat="false" ht="15" hidden="false" customHeight="true" outlineLevel="0" collapsed="false">
      <c r="A21" s="18" t="s">
        <v>154</v>
      </c>
      <c r="B21" s="18" t="s">
        <v>155</v>
      </c>
      <c r="C21" s="18" t="s">
        <v>96</v>
      </c>
      <c r="D21" s="26" t="n">
        <f aca="false">Customers!J21*Pricing!$D$21</f>
        <v>0</v>
      </c>
      <c r="E21" s="26" t="n">
        <f aca="false">Customers!K21*Pricing!$D$21</f>
        <v>0</v>
      </c>
      <c r="F21" s="26" t="n">
        <f aca="false">Customers!L21*Pricing!$D$21</f>
        <v>25000000</v>
      </c>
      <c r="G21" s="26" t="n">
        <f aca="false">Customers!M21*Pricing!$D$21</f>
        <v>50000000</v>
      </c>
      <c r="H21" s="26" t="n">
        <f aca="false">Customers!N21*Pricing!$D$21</f>
        <v>75000000</v>
      </c>
      <c r="J21" s="25" t="s">
        <v>226</v>
      </c>
    </row>
    <row r="22" customFormat="false" ht="15" hidden="false" customHeight="true" outlineLevel="0" collapsed="false">
      <c r="A22" s="5" t="s">
        <v>157</v>
      </c>
      <c r="B22" s="5" t="s">
        <v>158</v>
      </c>
      <c r="C22" s="5" t="s">
        <v>97</v>
      </c>
      <c r="D22" s="24" t="n">
        <f aca="false">Customers!J22*Pricing!$D$22</f>
        <v>0</v>
      </c>
      <c r="E22" s="24" t="n">
        <f aca="false">Customers!K22*Pricing!$D$22</f>
        <v>11250000</v>
      </c>
      <c r="F22" s="24" t="n">
        <f aca="false">Customers!L22*Pricing!$D$22</f>
        <v>22500000</v>
      </c>
      <c r="G22" s="24" t="n">
        <f aca="false">Customers!M22*Pricing!$D$22</f>
        <v>36250000</v>
      </c>
      <c r="H22" s="24" t="n">
        <f aca="false">Customers!N22*Pricing!$D$22</f>
        <v>50000000</v>
      </c>
      <c r="J22" s="25" t="s">
        <v>225</v>
      </c>
    </row>
    <row r="23" customFormat="false" ht="15" hidden="false" customHeight="true" outlineLevel="0" collapsed="false">
      <c r="A23" s="18" t="s">
        <v>160</v>
      </c>
      <c r="B23" s="18" t="s">
        <v>161</v>
      </c>
      <c r="C23" s="18" t="s">
        <v>97</v>
      </c>
      <c r="D23" s="26" t="n">
        <f aca="false">Customers!J23*Pricing!$D$23</f>
        <v>0</v>
      </c>
      <c r="E23" s="26" t="n">
        <f aca="false">Customers!K23*Pricing!$D$23</f>
        <v>9750000</v>
      </c>
      <c r="F23" s="26" t="n">
        <f aca="false">Customers!L23*Pricing!$D$23</f>
        <v>22500000</v>
      </c>
      <c r="G23" s="26" t="n">
        <f aca="false">Customers!M23*Pricing!$D$23</f>
        <v>41250000</v>
      </c>
      <c r="H23" s="26" t="n">
        <f aca="false">Customers!N23*Pricing!$D$23</f>
        <v>67500000</v>
      </c>
      <c r="J23" s="25" t="s">
        <v>225</v>
      </c>
    </row>
    <row r="24" customFormat="false" ht="15" hidden="false" customHeight="true" outlineLevel="0" collapsed="false">
      <c r="A24" s="5" t="s">
        <v>163</v>
      </c>
      <c r="B24" s="5" t="s">
        <v>164</v>
      </c>
      <c r="C24" s="5" t="s">
        <v>97</v>
      </c>
      <c r="D24" s="24" t="n">
        <f aca="false">Customers!J24*Pricing!$D$24</f>
        <v>0</v>
      </c>
      <c r="E24" s="24" t="n">
        <f aca="false">Customers!K24*Pricing!$D$24</f>
        <v>7000000</v>
      </c>
      <c r="F24" s="24" t="n">
        <f aca="false">Customers!L24*Pricing!$D$24</f>
        <v>21000000</v>
      </c>
      <c r="G24" s="24" t="n">
        <f aca="false">Customers!M24*Pricing!$D$24</f>
        <v>42000000</v>
      </c>
      <c r="H24" s="24" t="n">
        <f aca="false">Customers!N24*Pricing!$D$24</f>
        <v>70000000</v>
      </c>
      <c r="J24" s="25" t="s">
        <v>225</v>
      </c>
    </row>
    <row r="25" customFormat="false" ht="15" hidden="false" customHeight="true" outlineLevel="0" collapsed="false">
      <c r="A25" s="18" t="s">
        <v>166</v>
      </c>
      <c r="B25" s="18" t="s">
        <v>167</v>
      </c>
      <c r="C25" s="18" t="s">
        <v>97</v>
      </c>
      <c r="D25" s="26" t="n">
        <f aca="false">Customers!J25*Pricing!$D$25</f>
        <v>0</v>
      </c>
      <c r="E25" s="26" t="n">
        <f aca="false">Customers!K25*Pricing!$D$25</f>
        <v>0</v>
      </c>
      <c r="F25" s="26" t="n">
        <f aca="false">Customers!L25*Pricing!$D$25</f>
        <v>10000000</v>
      </c>
      <c r="G25" s="26" t="n">
        <f aca="false">Customers!M25*Pricing!$D$25</f>
        <v>20000000</v>
      </c>
      <c r="H25" s="26" t="n">
        <f aca="false">Customers!N25*Pricing!$D$25</f>
        <v>40000000</v>
      </c>
      <c r="J25" s="25" t="s">
        <v>225</v>
      </c>
    </row>
    <row r="26" customFormat="false" ht="15" hidden="false" customHeight="true" outlineLevel="0" collapsed="false">
      <c r="A26" s="5" t="s">
        <v>169</v>
      </c>
      <c r="B26" s="5" t="s">
        <v>170</v>
      </c>
      <c r="C26" s="5" t="s">
        <v>97</v>
      </c>
      <c r="D26" s="24" t="n">
        <f aca="false">Customers!J26*Pricing!$D$26</f>
        <v>0</v>
      </c>
      <c r="E26" s="24" t="n">
        <f aca="false">Customers!K26*Pricing!$D$26</f>
        <v>0</v>
      </c>
      <c r="F26" s="24" t="n">
        <f aca="false">Customers!L26*Pricing!$D$26</f>
        <v>0</v>
      </c>
      <c r="G26" s="24" t="n">
        <f aca="false">Customers!M26*Pricing!$D$26</f>
        <v>0</v>
      </c>
      <c r="H26" s="24" t="n">
        <f aca="false">Customers!N26*Pricing!$D$26</f>
        <v>0</v>
      </c>
      <c r="J26" s="25" t="s">
        <v>225</v>
      </c>
    </row>
    <row r="27" customFormat="false" ht="15" hidden="false" customHeight="true" outlineLevel="0" collapsed="false">
      <c r="A27" s="18" t="s">
        <v>172</v>
      </c>
      <c r="B27" s="18" t="s">
        <v>173</v>
      </c>
      <c r="C27" s="18" t="s">
        <v>98</v>
      </c>
      <c r="D27" s="26" t="n">
        <f aca="false">Customers!J27*Pricing!$D$27</f>
        <v>15000000</v>
      </c>
      <c r="E27" s="26" t="n">
        <f aca="false">Customers!K27*Pricing!$D$27</f>
        <v>24000000</v>
      </c>
      <c r="F27" s="26" t="n">
        <f aca="false">Customers!L27*Pricing!$D$27</f>
        <v>36000000</v>
      </c>
      <c r="G27" s="26" t="n">
        <f aca="false">Customers!M27*Pricing!$D$27</f>
        <v>52800000</v>
      </c>
      <c r="H27" s="26" t="n">
        <f aca="false">Customers!N27*Pricing!$D$27</f>
        <v>75000000</v>
      </c>
      <c r="J27" s="25" t="s">
        <v>225</v>
      </c>
    </row>
    <row r="28" customFormat="false" ht="15" hidden="false" customHeight="true" outlineLevel="0" collapsed="false">
      <c r="A28" s="5" t="s">
        <v>175</v>
      </c>
      <c r="B28" s="5" t="s">
        <v>176</v>
      </c>
      <c r="C28" s="5" t="s">
        <v>98</v>
      </c>
      <c r="D28" s="24" t="n">
        <f aca="false">Customers!J28*Pricing!$D$28</f>
        <v>10000000</v>
      </c>
      <c r="E28" s="24" t="n">
        <f aca="false">Customers!K28*Pricing!$D$28</f>
        <v>20000000</v>
      </c>
      <c r="F28" s="24" t="n">
        <f aca="false">Customers!L28*Pricing!$D$28</f>
        <v>30000000</v>
      </c>
      <c r="G28" s="24" t="n">
        <f aca="false">Customers!M28*Pricing!$D$28</f>
        <v>50000000</v>
      </c>
      <c r="H28" s="24" t="n">
        <f aca="false">Customers!N28*Pricing!$D$28</f>
        <v>80000000</v>
      </c>
      <c r="J28" s="25" t="s">
        <v>225</v>
      </c>
    </row>
    <row r="29" customFormat="false" ht="15" hidden="false" customHeight="true" outlineLevel="0" collapsed="false">
      <c r="A29" s="18" t="s">
        <v>178</v>
      </c>
      <c r="B29" s="18" t="s">
        <v>179</v>
      </c>
      <c r="C29" s="18" t="s">
        <v>98</v>
      </c>
      <c r="D29" s="26" t="n">
        <f aca="false">Customers!J29*Pricing!$D$29</f>
        <v>15000000</v>
      </c>
      <c r="E29" s="26" t="n">
        <f aca="false">Customers!K29*Pricing!$D$29</f>
        <v>22500000</v>
      </c>
      <c r="F29" s="26" t="n">
        <f aca="false">Customers!L29*Pricing!$D$29</f>
        <v>45000000</v>
      </c>
      <c r="G29" s="26" t="n">
        <f aca="false">Customers!M29*Pricing!$D$29</f>
        <v>75000000</v>
      </c>
      <c r="H29" s="26" t="n">
        <f aca="false">Customers!N29*Pricing!$D$29</f>
        <v>120000000</v>
      </c>
      <c r="J29" s="25" t="s">
        <v>225</v>
      </c>
    </row>
    <row r="30" customFormat="false" ht="15" hidden="false" customHeight="true" outlineLevel="0" collapsed="false">
      <c r="A30" s="5" t="s">
        <v>181</v>
      </c>
      <c r="B30" s="5" t="s">
        <v>182</v>
      </c>
      <c r="C30" s="5" t="s">
        <v>98</v>
      </c>
      <c r="D30" s="24" t="n">
        <f aca="false">Customers!J30*Pricing!$D$30</f>
        <v>0</v>
      </c>
      <c r="E30" s="24" t="n">
        <f aca="false">Customers!K30*Pricing!$D$30</f>
        <v>9000000</v>
      </c>
      <c r="F30" s="24" t="n">
        <f aca="false">Customers!L30*Pricing!$D$30</f>
        <v>24000000</v>
      </c>
      <c r="G30" s="24" t="n">
        <f aca="false">Customers!M30*Pricing!$D$30</f>
        <v>45000000</v>
      </c>
      <c r="H30" s="24" t="n">
        <f aca="false">Customers!N30*Pricing!$D$30</f>
        <v>66000000</v>
      </c>
      <c r="J30" s="25" t="s">
        <v>225</v>
      </c>
    </row>
    <row r="31" customFormat="false" ht="15" hidden="false" customHeight="true" outlineLevel="0" collapsed="false">
      <c r="A31" s="18" t="s">
        <v>184</v>
      </c>
      <c r="B31" s="18" t="s">
        <v>185</v>
      </c>
      <c r="C31" s="18" t="s">
        <v>99</v>
      </c>
      <c r="D31" s="26" t="n">
        <f aca="false">Customers!J31*Pricing!$D$31</f>
        <v>12000000</v>
      </c>
      <c r="E31" s="26" t="n">
        <f aca="false">Customers!K31*Pricing!$D$31</f>
        <v>20000000</v>
      </c>
      <c r="F31" s="26" t="n">
        <f aca="false">Customers!L31*Pricing!$D$31</f>
        <v>40000000</v>
      </c>
      <c r="G31" s="26" t="n">
        <f aca="false">Customers!M31*Pricing!$D$31</f>
        <v>60000000</v>
      </c>
      <c r="H31" s="26" t="n">
        <f aca="false">Customers!N31*Pricing!$D$31</f>
        <v>80000000</v>
      </c>
      <c r="J31" s="25" t="s">
        <v>226</v>
      </c>
    </row>
    <row r="32" customFormat="false" ht="15" hidden="false" customHeight="true" outlineLevel="0" collapsed="false">
      <c r="A32" s="5" t="s">
        <v>187</v>
      </c>
      <c r="B32" s="5" t="s">
        <v>188</v>
      </c>
      <c r="C32" s="5" t="s">
        <v>99</v>
      </c>
      <c r="D32" s="24" t="n">
        <f aca="false">Customers!J32*Pricing!$D$32</f>
        <v>18000000</v>
      </c>
      <c r="E32" s="24" t="n">
        <f aca="false">Customers!K32*Pricing!$D$32</f>
        <v>36000000</v>
      </c>
      <c r="F32" s="24" t="n">
        <f aca="false">Customers!L32*Pricing!$D$32</f>
        <v>72000000</v>
      </c>
      <c r="G32" s="24" t="n">
        <f aca="false">Customers!M32*Pricing!$D$32</f>
        <v>126000000</v>
      </c>
      <c r="H32" s="24" t="n">
        <f aca="false">Customers!N32*Pricing!$D$32</f>
        <v>180000000</v>
      </c>
      <c r="J32" s="25" t="s">
        <v>226</v>
      </c>
    </row>
    <row r="33" customFormat="false" ht="15" hidden="false" customHeight="true" outlineLevel="0" collapsed="false">
      <c r="A33" s="18" t="s">
        <v>190</v>
      </c>
      <c r="B33" s="18" t="s">
        <v>191</v>
      </c>
      <c r="C33" s="18" t="s">
        <v>99</v>
      </c>
      <c r="D33" s="26" t="n">
        <f aca="false">Customers!J33*Pricing!$D$33</f>
        <v>0</v>
      </c>
      <c r="E33" s="26" t="n">
        <f aca="false">Customers!K33*Pricing!$D$33</f>
        <v>0</v>
      </c>
      <c r="F33" s="26" t="n">
        <f aca="false">Customers!L33*Pricing!$D$33</f>
        <v>0</v>
      </c>
      <c r="G33" s="26" t="n">
        <f aca="false">Customers!M33*Pricing!$D$33</f>
        <v>80000000</v>
      </c>
      <c r="H33" s="26" t="n">
        <f aca="false">Customers!N33*Pricing!$D$33</f>
        <v>80000000</v>
      </c>
      <c r="J33" s="25" t="s">
        <v>226</v>
      </c>
    </row>
    <row r="34" customFormat="false" ht="15" hidden="false" customHeight="true" outlineLevel="0" collapsed="false">
      <c r="A34" s="5" t="s">
        <v>193</v>
      </c>
      <c r="B34" s="5" t="s">
        <v>194</v>
      </c>
      <c r="C34" s="5" t="s">
        <v>100</v>
      </c>
      <c r="D34" s="24" t="n">
        <f aca="false">Customers!J34*Pricing!$D$34</f>
        <v>0</v>
      </c>
      <c r="E34" s="24" t="n">
        <f aca="false">Customers!K34*Pricing!$D$34</f>
        <v>6000000</v>
      </c>
      <c r="F34" s="24" t="n">
        <f aca="false">Customers!L34*Pricing!$D$34</f>
        <v>18000000</v>
      </c>
      <c r="G34" s="24" t="n">
        <f aca="false">Customers!M34*Pricing!$D$34</f>
        <v>33600000</v>
      </c>
      <c r="H34" s="24" t="n">
        <f aca="false">Customers!N34*Pricing!$D$34</f>
        <v>54000000</v>
      </c>
      <c r="J34" s="25" t="s">
        <v>225</v>
      </c>
    </row>
    <row r="35" customFormat="false" ht="15" hidden="false" customHeight="true" outlineLevel="0" collapsed="false">
      <c r="A35" s="18" t="s">
        <v>196</v>
      </c>
      <c r="B35" s="18" t="s">
        <v>197</v>
      </c>
      <c r="C35" s="18" t="s">
        <v>100</v>
      </c>
      <c r="D35" s="26" t="n">
        <f aca="false">Customers!J35*Pricing!$D$35</f>
        <v>0</v>
      </c>
      <c r="E35" s="26" t="n">
        <f aca="false">Customers!K35*Pricing!$D$35</f>
        <v>0</v>
      </c>
      <c r="F35" s="26" t="n">
        <f aca="false">Customers!L35*Pricing!$D$35</f>
        <v>16000000</v>
      </c>
      <c r="G35" s="26" t="n">
        <f aca="false">Customers!M35*Pricing!$D$35</f>
        <v>32000000</v>
      </c>
      <c r="H35" s="26" t="n">
        <f aca="false">Customers!N35*Pricing!$D$35</f>
        <v>48000000</v>
      </c>
      <c r="J35" s="25" t="s">
        <v>225</v>
      </c>
    </row>
    <row r="36" customFormat="false" ht="15" hidden="false" customHeight="true" outlineLevel="0" collapsed="false">
      <c r="A36" s="5" t="s">
        <v>199</v>
      </c>
      <c r="B36" s="5" t="s">
        <v>200</v>
      </c>
      <c r="C36" s="5" t="s">
        <v>100</v>
      </c>
      <c r="D36" s="24" t="n">
        <f aca="false">Customers!J36*Pricing!$D$36</f>
        <v>0</v>
      </c>
      <c r="E36" s="24" t="n">
        <f aca="false">Customers!K36*Pricing!$D$36</f>
        <v>0</v>
      </c>
      <c r="F36" s="24" t="n">
        <f aca="false">Customers!L36*Pricing!$D$36</f>
        <v>0</v>
      </c>
      <c r="G36" s="24" t="n">
        <f aca="false">Customers!M36*Pricing!$D$36</f>
        <v>15000000</v>
      </c>
      <c r="H36" s="24" t="n">
        <f aca="false">Customers!N36*Pricing!$D$36</f>
        <v>30000000</v>
      </c>
      <c r="J36" s="25" t="s">
        <v>225</v>
      </c>
    </row>
    <row r="37" customFormat="false" ht="15" hidden="false" customHeight="true" outlineLevel="0" collapsed="false">
      <c r="A37" s="18" t="s">
        <v>202</v>
      </c>
      <c r="B37" s="18" t="s">
        <v>203</v>
      </c>
      <c r="C37" s="18" t="s">
        <v>101</v>
      </c>
      <c r="D37" s="26" t="n">
        <f aca="false">Customers!J37*Pricing!$D$37</f>
        <v>0</v>
      </c>
      <c r="E37" s="26" t="n">
        <f aca="false">Customers!K37*Pricing!$D$37</f>
        <v>7500000</v>
      </c>
      <c r="F37" s="26" t="n">
        <f aca="false">Customers!L37*Pricing!$D$37</f>
        <v>16500000</v>
      </c>
      <c r="G37" s="26" t="n">
        <f aca="false">Customers!M37*Pricing!$D$37</f>
        <v>30000000</v>
      </c>
      <c r="H37" s="26" t="n">
        <f aca="false">Customers!N37*Pricing!$D$37</f>
        <v>45000000</v>
      </c>
      <c r="J37" s="25" t="s">
        <v>225</v>
      </c>
    </row>
    <row r="38" customFormat="false" ht="15" hidden="false" customHeight="true" outlineLevel="0" collapsed="false">
      <c r="A38" s="5" t="s">
        <v>205</v>
      </c>
      <c r="B38" s="5" t="s">
        <v>206</v>
      </c>
      <c r="C38" s="5" t="s">
        <v>101</v>
      </c>
      <c r="D38" s="24" t="n">
        <f aca="false">Customers!J38*Pricing!$D$38</f>
        <v>0</v>
      </c>
      <c r="E38" s="24" t="n">
        <f aca="false">Customers!K38*Pricing!$D$38</f>
        <v>0</v>
      </c>
      <c r="F38" s="24" t="n">
        <f aca="false">Customers!L38*Pricing!$D$38</f>
        <v>10000000</v>
      </c>
      <c r="G38" s="24" t="n">
        <f aca="false">Customers!M38*Pricing!$D$38</f>
        <v>20000000</v>
      </c>
      <c r="H38" s="24" t="n">
        <f aca="false">Customers!N38*Pricing!$D$38</f>
        <v>30000000</v>
      </c>
      <c r="J38" s="25" t="s">
        <v>225</v>
      </c>
    </row>
    <row r="39" customFormat="false" ht="15" hidden="false" customHeight="true" outlineLevel="0" collapsed="false">
      <c r="A39" s="4" t="s">
        <v>227</v>
      </c>
    </row>
    <row r="40" customFormat="false" ht="15" hidden="false" customHeight="true" outlineLevel="0" collapsed="false">
      <c r="A40" s="8" t="s">
        <v>78</v>
      </c>
      <c r="B40" s="9"/>
      <c r="C40" s="9"/>
      <c r="D40" s="9" t="s">
        <v>36</v>
      </c>
      <c r="E40" s="9" t="s">
        <v>38</v>
      </c>
      <c r="F40" s="9" t="s">
        <v>40</v>
      </c>
      <c r="G40" s="9" t="s">
        <v>41</v>
      </c>
      <c r="H40" s="9" t="s">
        <v>42</v>
      </c>
    </row>
    <row r="41" customFormat="false" ht="15" hidden="false" customHeight="true" outlineLevel="0" collapsed="false">
      <c r="A41" s="6" t="s">
        <v>92</v>
      </c>
      <c r="D41" s="21" t="n">
        <f aca="false">SUMIFS($D$4:$D$38,$C$4:$C$38,$A41)</f>
        <v>49875000</v>
      </c>
      <c r="E41" s="21" t="n">
        <f aca="false">SUMIFS($E$4:$E$38,$C$4:$C$38,$A41)</f>
        <v>115625000</v>
      </c>
      <c r="F41" s="21" t="n">
        <f aca="false">SUMIFS($F$4:$F$38,$C$4:$C$38,$A41)</f>
        <v>220625000</v>
      </c>
      <c r="G41" s="21" t="n">
        <f aca="false">SUMIFS($G$4:$G$38,$C$4:$C$38,$A41)</f>
        <v>380500000</v>
      </c>
      <c r="H41" s="21" t="n">
        <f aca="false">SUMIFS($H$4:$H$38,$C$4:$C$38,$A41)</f>
        <v>584250000</v>
      </c>
    </row>
    <row r="42" customFormat="false" ht="15" hidden="false" customHeight="true" outlineLevel="0" collapsed="false">
      <c r="A42" s="6" t="s">
        <v>93</v>
      </c>
      <c r="D42" s="21" t="n">
        <f aca="false">SUMIFS($D$4:$D$38,$C$4:$C$38,$A42)</f>
        <v>50000000</v>
      </c>
      <c r="E42" s="21" t="n">
        <f aca="false">SUMIFS($E$4:$E$38,$C$4:$C$38,$A42)</f>
        <v>64500000</v>
      </c>
      <c r="F42" s="21" t="n">
        <f aca="false">SUMIFS($F$4:$F$38,$C$4:$C$38,$A42)</f>
        <v>117000000</v>
      </c>
      <c r="G42" s="21" t="n">
        <f aca="false">SUMIFS($G$4:$G$38,$C$4:$C$38,$A42)</f>
        <v>162500000</v>
      </c>
      <c r="H42" s="21" t="n">
        <f aca="false">SUMIFS($H$4:$H$38,$C$4:$C$38,$A42)</f>
        <v>206000000</v>
      </c>
    </row>
    <row r="43" customFormat="false" ht="15" hidden="false" customHeight="true" outlineLevel="0" collapsed="false">
      <c r="A43" s="6" t="s">
        <v>94</v>
      </c>
      <c r="D43" s="21" t="n">
        <f aca="false">SUMIFS($D$4:$D$38,$C$4:$C$38,$A43)</f>
        <v>60000000</v>
      </c>
      <c r="E43" s="21" t="n">
        <f aca="false">SUMIFS($E$4:$E$38,$C$4:$C$38,$A43)</f>
        <v>116000000</v>
      </c>
      <c r="F43" s="21" t="n">
        <f aca="false">SUMIFS($F$4:$F$38,$C$4:$C$38,$A43)</f>
        <v>188000000</v>
      </c>
      <c r="G43" s="21" t="n">
        <f aca="false">SUMIFS($G$4:$G$38,$C$4:$C$38,$A43)</f>
        <v>256000000</v>
      </c>
      <c r="H43" s="21" t="n">
        <f aca="false">SUMIFS($H$4:$H$38,$C$4:$C$38,$A43)</f>
        <v>340000000</v>
      </c>
    </row>
    <row r="44" customFormat="false" ht="15" hidden="false" customHeight="true" outlineLevel="0" collapsed="false">
      <c r="A44" s="6" t="s">
        <v>95</v>
      </c>
      <c r="D44" s="21" t="n">
        <f aca="false">SUMIFS($D$4:$D$38,$C$4:$C$38,$A44)</f>
        <v>0</v>
      </c>
      <c r="E44" s="21" t="n">
        <f aca="false">SUMIFS($E$4:$E$38,$C$4:$C$38,$A44)</f>
        <v>18000000</v>
      </c>
      <c r="F44" s="21" t="n">
        <f aca="false">SUMIFS($F$4:$F$38,$C$4:$C$38,$A44)</f>
        <v>47850000</v>
      </c>
      <c r="G44" s="21" t="n">
        <f aca="false">SUMIFS($G$4:$G$38,$C$4:$C$38,$A44)</f>
        <v>91350000</v>
      </c>
      <c r="H44" s="21" t="n">
        <f aca="false">SUMIFS($H$4:$H$38,$C$4:$C$38,$A44)</f>
        <v>147000000</v>
      </c>
    </row>
    <row r="45" customFormat="false" ht="15" hidden="false" customHeight="true" outlineLevel="0" collapsed="false">
      <c r="A45" s="6" t="s">
        <v>96</v>
      </c>
      <c r="D45" s="21" t="n">
        <f aca="false">SUMIFS($D$4:$D$38,$C$4:$C$38,$A45)</f>
        <v>19000000</v>
      </c>
      <c r="E45" s="21" t="n">
        <f aca="false">SUMIFS($E$4:$E$38,$C$4:$C$38,$A45)</f>
        <v>45000000</v>
      </c>
      <c r="F45" s="21" t="n">
        <f aca="false">SUMIFS($F$4:$F$38,$C$4:$C$38,$A45)</f>
        <v>102000000</v>
      </c>
      <c r="G45" s="21" t="n">
        <f aca="false">SUMIFS($G$4:$G$38,$C$4:$C$38,$A45)</f>
        <v>169000000</v>
      </c>
      <c r="H45" s="21" t="n">
        <f aca="false">SUMIFS($H$4:$H$38,$C$4:$C$38,$A45)</f>
        <v>249000000</v>
      </c>
    </row>
    <row r="46" customFormat="false" ht="15" hidden="false" customHeight="true" outlineLevel="0" collapsed="false">
      <c r="A46" s="6" t="s">
        <v>97</v>
      </c>
      <c r="D46" s="21" t="n">
        <f aca="false">SUMIFS($D$4:$D$38,$C$4:$C$38,$A46)</f>
        <v>0</v>
      </c>
      <c r="E46" s="21" t="n">
        <f aca="false">SUMIFS($E$4:$E$38,$C$4:$C$38,$A46)</f>
        <v>28000000</v>
      </c>
      <c r="F46" s="21" t="n">
        <f aca="false">SUMIFS($F$4:$F$38,$C$4:$C$38,$A46)</f>
        <v>76000000</v>
      </c>
      <c r="G46" s="21" t="n">
        <f aca="false">SUMIFS($G$4:$G$38,$C$4:$C$38,$A46)</f>
        <v>139500000</v>
      </c>
      <c r="H46" s="21" t="n">
        <f aca="false">SUMIFS($H$4:$H$38,$C$4:$C$38,$A46)</f>
        <v>227500000</v>
      </c>
    </row>
    <row r="47" customFormat="false" ht="15" hidden="false" customHeight="true" outlineLevel="0" collapsed="false">
      <c r="A47" s="6" t="s">
        <v>98</v>
      </c>
      <c r="D47" s="21" t="n">
        <f aca="false">SUMIFS($D$4:$D$38,$C$4:$C$38,$A47)</f>
        <v>40000000</v>
      </c>
      <c r="E47" s="21" t="n">
        <f aca="false">SUMIFS($E$4:$E$38,$C$4:$C$38,$A47)</f>
        <v>75500000</v>
      </c>
      <c r="F47" s="21" t="n">
        <f aca="false">SUMIFS($F$4:$F$38,$C$4:$C$38,$A47)</f>
        <v>135000000</v>
      </c>
      <c r="G47" s="21" t="n">
        <f aca="false">SUMIFS($G$4:$G$38,$C$4:$C$38,$A47)</f>
        <v>222800000</v>
      </c>
      <c r="H47" s="21" t="n">
        <f aca="false">SUMIFS($H$4:$H$38,$C$4:$C$38,$A47)</f>
        <v>341000000</v>
      </c>
    </row>
    <row r="48" customFormat="false" ht="15" hidden="false" customHeight="true" outlineLevel="0" collapsed="false">
      <c r="A48" s="6" t="s">
        <v>99</v>
      </c>
      <c r="D48" s="21" t="n">
        <f aca="false">SUMIFS($D$4:$D$38,$C$4:$C$38,$A48)</f>
        <v>30000000</v>
      </c>
      <c r="E48" s="21" t="n">
        <f aca="false">SUMIFS($E$4:$E$38,$C$4:$C$38,$A48)</f>
        <v>56000000</v>
      </c>
      <c r="F48" s="21" t="n">
        <f aca="false">SUMIFS($F$4:$F$38,$C$4:$C$38,$A48)</f>
        <v>112000000</v>
      </c>
      <c r="G48" s="21" t="n">
        <f aca="false">SUMIFS($G$4:$G$38,$C$4:$C$38,$A48)</f>
        <v>266000000</v>
      </c>
      <c r="H48" s="21" t="n">
        <f aca="false">SUMIFS($H$4:$H$38,$C$4:$C$38,$A48)</f>
        <v>340000000</v>
      </c>
    </row>
    <row r="49" customFormat="false" ht="15" hidden="false" customHeight="true" outlineLevel="0" collapsed="false">
      <c r="A49" s="6" t="s">
        <v>100</v>
      </c>
      <c r="D49" s="21" t="n">
        <f aca="false">SUMIFS($D$4:$D$38,$C$4:$C$38,$A49)</f>
        <v>0</v>
      </c>
      <c r="E49" s="21" t="n">
        <f aca="false">SUMIFS($E$4:$E$38,$C$4:$C$38,$A49)</f>
        <v>6000000</v>
      </c>
      <c r="F49" s="21" t="n">
        <f aca="false">SUMIFS($F$4:$F$38,$C$4:$C$38,$A49)</f>
        <v>34000000</v>
      </c>
      <c r="G49" s="21" t="n">
        <f aca="false">SUMIFS($G$4:$G$38,$C$4:$C$38,$A49)</f>
        <v>80600000</v>
      </c>
      <c r="H49" s="21" t="n">
        <f aca="false">SUMIFS($H$4:$H$38,$C$4:$C$38,$A49)</f>
        <v>132000000</v>
      </c>
    </row>
    <row r="50" customFormat="false" ht="15" hidden="false" customHeight="true" outlineLevel="0" collapsed="false">
      <c r="A50" s="6" t="s">
        <v>101</v>
      </c>
      <c r="D50" s="21" t="n">
        <f aca="false">SUMIFS($D$4:$D$38,$C$4:$C$38,$A50)</f>
        <v>0</v>
      </c>
      <c r="E50" s="21" t="n">
        <f aca="false">SUMIFS($E$4:$E$38,$C$4:$C$38,$A50)</f>
        <v>7500000</v>
      </c>
      <c r="F50" s="21" t="n">
        <f aca="false">SUMIFS($F$4:$F$38,$C$4:$C$38,$A50)</f>
        <v>26500000</v>
      </c>
      <c r="G50" s="21" t="n">
        <f aca="false">SUMIFS($G$4:$G$38,$C$4:$C$38,$A50)</f>
        <v>50000000</v>
      </c>
      <c r="H50" s="21" t="n">
        <f aca="false">SUMIFS($H$4:$H$38,$C$4:$C$38,$A50)</f>
        <v>75000000</v>
      </c>
    </row>
    <row r="52" customFormat="false" ht="15" hidden="false" customHeight="true" outlineLevel="0" collapsed="false">
      <c r="A52" s="6" t="s">
        <v>228</v>
      </c>
      <c r="D52" s="27" t="n">
        <f aca="false">SUM(D41:D50)</f>
        <v>248875000</v>
      </c>
      <c r="E52" s="27" t="n">
        <f aca="false">SUM(E41:E50)</f>
        <v>532125000</v>
      </c>
      <c r="F52" s="27" t="n">
        <f aca="false">SUM(F41:F50)</f>
        <v>1058975000</v>
      </c>
      <c r="G52" s="27" t="n">
        <f aca="false">SUM(G41:G50)</f>
        <v>1818250000</v>
      </c>
      <c r="H52" s="27" t="n">
        <f aca="false">SUM(H41:H50)</f>
        <v>2641750000</v>
      </c>
    </row>
    <row r="54" customFormat="false" ht="15" hidden="false" customHeight="true" outlineLevel="0" collapsed="false">
      <c r="A54" s="5" t="s">
        <v>229</v>
      </c>
      <c r="D54" s="14" t="n">
        <v>250000000</v>
      </c>
      <c r="E54" s="14" t="n">
        <v>550000000</v>
      </c>
      <c r="F54" s="14" t="n">
        <v>1000000000</v>
      </c>
      <c r="G54" s="14" t="n">
        <v>1750000000</v>
      </c>
      <c r="H54" s="14" t="n">
        <v>2750000000</v>
      </c>
    </row>
    <row r="55" customFormat="false" ht="15" hidden="false" customHeight="true" outlineLevel="0" collapsed="false">
      <c r="A55" s="5" t="s">
        <v>230</v>
      </c>
      <c r="D55" s="17" t="n">
        <f aca="false">IF(D54=0,0,D52/D54-1)</f>
        <v>-0.00449999999999995</v>
      </c>
      <c r="E55" s="17" t="n">
        <f aca="false">IF(E54=0,0,E52/E54-1)</f>
        <v>-0.0325</v>
      </c>
      <c r="F55" s="17" t="n">
        <f aca="false">IF(F54=0,0,F52/F54-1)</f>
        <v>0.058975</v>
      </c>
      <c r="G55" s="17" t="n">
        <f aca="false">IF(G54=0,0,G52/G54-1)</f>
        <v>0.0389999999999999</v>
      </c>
      <c r="H55" s="17" t="n">
        <f aca="false">IF(H54=0,0,H52/H54-1)</f>
        <v>-0.0393636363636364</v>
      </c>
    </row>
    <row r="57" customFormat="false" ht="15" hidden="false" customHeight="true" outlineLevel="0" collapsed="false">
      <c r="A57" s="3" t="s">
        <v>231</v>
      </c>
    </row>
    <row r="59" customFormat="false" ht="15" hidden="false" customHeight="true" outlineLevel="0" collapsed="false">
      <c r="A59" s="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7" min="3" style="1" width="11"/>
    <col collapsed="false" customWidth="true" hidden="false" outlineLevel="0" max="8" min="8" style="1" width="3"/>
    <col collapsed="false" customWidth="true" hidden="false" outlineLevel="0" max="13" min="9" style="1" width="16"/>
    <col collapsed="false" customWidth="true" hidden="false" outlineLevel="0" max="14" min="14" style="1" width="3"/>
    <col collapsed="false" customWidth="true" hidden="false" outlineLevel="0" max="15" min="15" style="1" width="10"/>
  </cols>
  <sheetData>
    <row r="1" customFormat="false" ht="17.25" hidden="false" customHeight="true" outlineLevel="0" collapsed="false">
      <c r="A1" s="2" t="s">
        <v>233</v>
      </c>
    </row>
    <row r="2" customFormat="false" ht="15" hidden="false" customHeight="true" outlineLevel="0" collapsed="false">
      <c r="A2" s="3" t="s">
        <v>234</v>
      </c>
    </row>
    <row r="3" customFormat="false" ht="23.25" hidden="false" customHeight="true" outlineLevel="0" collapsed="false">
      <c r="A3" s="8" t="s">
        <v>235</v>
      </c>
      <c r="B3" s="9" t="s">
        <v>236</v>
      </c>
      <c r="C3" s="9" t="s">
        <v>237</v>
      </c>
      <c r="D3" s="9" t="s">
        <v>238</v>
      </c>
      <c r="E3" s="9" t="s">
        <v>239</v>
      </c>
      <c r="F3" s="9" t="s">
        <v>240</v>
      </c>
      <c r="G3" s="9" t="s">
        <v>241</v>
      </c>
      <c r="H3" s="9"/>
      <c r="I3" s="9" t="s">
        <v>242</v>
      </c>
      <c r="J3" s="9" t="s">
        <v>243</v>
      </c>
      <c r="K3" s="9" t="s">
        <v>244</v>
      </c>
      <c r="L3" s="9" t="s">
        <v>245</v>
      </c>
      <c r="M3" s="9" t="s">
        <v>246</v>
      </c>
      <c r="O3" s="28" t="s">
        <v>247</v>
      </c>
    </row>
    <row r="4" customFormat="false" ht="15" hidden="false" customHeight="true" outlineLevel="0" collapsed="false">
      <c r="A4" s="5" t="s">
        <v>248</v>
      </c>
      <c r="B4" s="14" t="n">
        <v>21600000</v>
      </c>
      <c r="C4" s="14" t="n">
        <v>1</v>
      </c>
      <c r="D4" s="14" t="n">
        <v>1</v>
      </c>
      <c r="E4" s="14" t="n">
        <v>1</v>
      </c>
      <c r="F4" s="14" t="n">
        <v>1</v>
      </c>
      <c r="G4" s="14" t="n">
        <v>1</v>
      </c>
      <c r="I4" s="21" t="n">
        <f aca="false">C4*$B4*(1+Assumptions!$C$35)</f>
        <v>26352000</v>
      </c>
      <c r="J4" s="21" t="n">
        <f aca="false">D4*$B4*(1+Assumptions!$C$35)</f>
        <v>26352000</v>
      </c>
      <c r="K4" s="21" t="n">
        <f aca="false">E4*$B4*(1+Assumptions!$C$35)</f>
        <v>26352000</v>
      </c>
      <c r="L4" s="21" t="n">
        <f aca="false">F4*$B4*(1+Assumptions!$C$35)</f>
        <v>26352000</v>
      </c>
      <c r="M4" s="21" t="n">
        <f aca="false">G4*$B4*(1+Assumptions!$C$35)</f>
        <v>26352000</v>
      </c>
      <c r="O4" s="25" t="s">
        <v>225</v>
      </c>
    </row>
    <row r="5" customFormat="false" ht="15" hidden="false" customHeight="true" outlineLevel="0" collapsed="false">
      <c r="A5" s="18" t="s">
        <v>249</v>
      </c>
      <c r="B5" s="19" t="n">
        <v>15600000</v>
      </c>
      <c r="C5" s="19" t="n">
        <v>1</v>
      </c>
      <c r="D5" s="19" t="n">
        <v>1</v>
      </c>
      <c r="E5" s="19" t="n">
        <v>1</v>
      </c>
      <c r="F5" s="19" t="n">
        <v>1</v>
      </c>
      <c r="G5" s="19" t="n">
        <v>1</v>
      </c>
      <c r="H5" s="22"/>
      <c r="I5" s="23" t="n">
        <f aca="false">C5*$B5*(1+Assumptions!$C$35)</f>
        <v>19032000</v>
      </c>
      <c r="J5" s="23" t="n">
        <f aca="false">D5*$B5*(1+Assumptions!$C$35)</f>
        <v>19032000</v>
      </c>
      <c r="K5" s="23" t="n">
        <f aca="false">E5*$B5*(1+Assumptions!$C$35)</f>
        <v>19032000</v>
      </c>
      <c r="L5" s="23" t="n">
        <f aca="false">F5*$B5*(1+Assumptions!$C$35)</f>
        <v>19032000</v>
      </c>
      <c r="M5" s="23" t="n">
        <f aca="false">G5*$B5*(1+Assumptions!$C$35)</f>
        <v>19032000</v>
      </c>
      <c r="O5" s="25" t="s">
        <v>225</v>
      </c>
    </row>
    <row r="6" customFormat="false" ht="15" hidden="false" customHeight="true" outlineLevel="0" collapsed="false">
      <c r="A6" s="5" t="s">
        <v>250</v>
      </c>
      <c r="B6" s="14" t="n">
        <v>15600000</v>
      </c>
      <c r="C6" s="14" t="n">
        <v>1</v>
      </c>
      <c r="D6" s="14" t="n">
        <v>1</v>
      </c>
      <c r="E6" s="14" t="n">
        <v>1</v>
      </c>
      <c r="F6" s="14" t="n">
        <v>2</v>
      </c>
      <c r="G6" s="14" t="n">
        <v>2</v>
      </c>
      <c r="I6" s="21" t="n">
        <f aca="false">C6*$B6*(1+Assumptions!$C$35)</f>
        <v>19032000</v>
      </c>
      <c r="J6" s="21" t="n">
        <f aca="false">D6*$B6*(1+Assumptions!$C$35)</f>
        <v>19032000</v>
      </c>
      <c r="K6" s="21" t="n">
        <f aca="false">E6*$B6*(1+Assumptions!$C$35)</f>
        <v>19032000</v>
      </c>
      <c r="L6" s="21" t="n">
        <f aca="false">F6*$B6*(1+Assumptions!$C$35)</f>
        <v>38064000</v>
      </c>
      <c r="M6" s="21" t="n">
        <f aca="false">G6*$B6*(1+Assumptions!$C$35)</f>
        <v>38064000</v>
      </c>
      <c r="O6" s="25" t="s">
        <v>225</v>
      </c>
    </row>
    <row r="7" customFormat="false" ht="15" hidden="false" customHeight="true" outlineLevel="0" collapsed="false">
      <c r="A7" s="18" t="s">
        <v>251</v>
      </c>
      <c r="B7" s="19" t="n">
        <v>14400000</v>
      </c>
      <c r="C7" s="19" t="n">
        <v>1</v>
      </c>
      <c r="D7" s="19" t="n">
        <v>1</v>
      </c>
      <c r="E7" s="19" t="n">
        <v>1</v>
      </c>
      <c r="F7" s="19" t="n">
        <v>1</v>
      </c>
      <c r="G7" s="19" t="n">
        <v>2</v>
      </c>
      <c r="H7" s="22"/>
      <c r="I7" s="23" t="n">
        <f aca="false">C7*$B7*(1+Assumptions!$C$35)</f>
        <v>17568000</v>
      </c>
      <c r="J7" s="23" t="n">
        <f aca="false">D7*$B7*(1+Assumptions!$C$35)</f>
        <v>17568000</v>
      </c>
      <c r="K7" s="23" t="n">
        <f aca="false">E7*$B7*(1+Assumptions!$C$35)</f>
        <v>17568000</v>
      </c>
      <c r="L7" s="23" t="n">
        <f aca="false">F7*$B7*(1+Assumptions!$C$35)</f>
        <v>17568000</v>
      </c>
      <c r="M7" s="23" t="n">
        <f aca="false">G7*$B7*(1+Assumptions!$C$35)</f>
        <v>35136000</v>
      </c>
      <c r="O7" s="25" t="s">
        <v>226</v>
      </c>
    </row>
    <row r="8" customFormat="false" ht="15" hidden="false" customHeight="true" outlineLevel="0" collapsed="false">
      <c r="A8" s="5" t="s">
        <v>252</v>
      </c>
      <c r="B8" s="14" t="n">
        <v>14400000</v>
      </c>
      <c r="C8" s="14" t="n">
        <v>1</v>
      </c>
      <c r="D8" s="14" t="n">
        <v>1</v>
      </c>
      <c r="E8" s="14" t="n">
        <v>2</v>
      </c>
      <c r="F8" s="14" t="n">
        <v>2</v>
      </c>
      <c r="G8" s="14" t="n">
        <v>3</v>
      </c>
      <c r="I8" s="21" t="n">
        <f aca="false">C8*$B8*(1+Assumptions!$C$35)</f>
        <v>17568000</v>
      </c>
      <c r="J8" s="21" t="n">
        <f aca="false">D8*$B8*(1+Assumptions!$C$35)</f>
        <v>17568000</v>
      </c>
      <c r="K8" s="21" t="n">
        <f aca="false">E8*$B8*(1+Assumptions!$C$35)</f>
        <v>35136000</v>
      </c>
      <c r="L8" s="21" t="n">
        <f aca="false">F8*$B8*(1+Assumptions!$C$35)</f>
        <v>35136000</v>
      </c>
      <c r="M8" s="21" t="n">
        <f aca="false">G8*$B8*(1+Assumptions!$C$35)</f>
        <v>52704000</v>
      </c>
      <c r="O8" s="25" t="s">
        <v>225</v>
      </c>
    </row>
    <row r="9" customFormat="false" ht="15" hidden="false" customHeight="true" outlineLevel="0" collapsed="false">
      <c r="A9" s="18" t="s">
        <v>253</v>
      </c>
      <c r="B9" s="19" t="n">
        <v>10800000</v>
      </c>
      <c r="C9" s="19" t="n">
        <v>1</v>
      </c>
      <c r="D9" s="19" t="n">
        <v>1</v>
      </c>
      <c r="E9" s="19" t="n">
        <v>2</v>
      </c>
      <c r="F9" s="19" t="n">
        <v>2</v>
      </c>
      <c r="G9" s="19" t="n">
        <v>3</v>
      </c>
      <c r="H9" s="22"/>
      <c r="I9" s="23" t="n">
        <f aca="false">C9*$B9*(1+Assumptions!$C$35)</f>
        <v>13176000</v>
      </c>
      <c r="J9" s="23" t="n">
        <f aca="false">D9*$B9*(1+Assumptions!$C$35)</f>
        <v>13176000</v>
      </c>
      <c r="K9" s="23" t="n">
        <f aca="false">E9*$B9*(1+Assumptions!$C$35)</f>
        <v>26352000</v>
      </c>
      <c r="L9" s="23" t="n">
        <f aca="false">F9*$B9*(1+Assumptions!$C$35)</f>
        <v>26352000</v>
      </c>
      <c r="M9" s="23" t="n">
        <f aca="false">G9*$B9*(1+Assumptions!$C$35)</f>
        <v>39528000</v>
      </c>
      <c r="O9" s="25" t="s">
        <v>225</v>
      </c>
    </row>
    <row r="10" customFormat="false" ht="15" hidden="false" customHeight="true" outlineLevel="0" collapsed="false">
      <c r="A10" s="5" t="s">
        <v>254</v>
      </c>
      <c r="B10" s="14" t="n">
        <v>15600000</v>
      </c>
      <c r="C10" s="14" t="n">
        <v>0</v>
      </c>
      <c r="D10" s="14" t="n">
        <v>1</v>
      </c>
      <c r="E10" s="14" t="n">
        <v>1</v>
      </c>
      <c r="F10" s="14" t="n">
        <v>1</v>
      </c>
      <c r="G10" s="14" t="n">
        <v>2</v>
      </c>
      <c r="I10" s="21" t="n">
        <f aca="false">C10*$B10*(1+Assumptions!$C$35)</f>
        <v>0</v>
      </c>
      <c r="J10" s="21" t="n">
        <f aca="false">D10*$B10*(1+Assumptions!$C$35)</f>
        <v>19032000</v>
      </c>
      <c r="K10" s="21" t="n">
        <f aca="false">E10*$B10*(1+Assumptions!$C$35)</f>
        <v>19032000</v>
      </c>
      <c r="L10" s="21" t="n">
        <f aca="false">F10*$B10*(1+Assumptions!$C$35)</f>
        <v>19032000</v>
      </c>
      <c r="M10" s="21" t="n">
        <f aca="false">G10*$B10*(1+Assumptions!$C$35)</f>
        <v>38064000</v>
      </c>
      <c r="O10" s="25" t="s">
        <v>225</v>
      </c>
    </row>
    <row r="11" customFormat="false" ht="15" hidden="false" customHeight="true" outlineLevel="0" collapsed="false">
      <c r="A11" s="18" t="s">
        <v>255</v>
      </c>
      <c r="B11" s="19" t="n">
        <v>10800000</v>
      </c>
      <c r="C11" s="19" t="n">
        <v>0</v>
      </c>
      <c r="D11" s="19" t="n">
        <v>1</v>
      </c>
      <c r="E11" s="19" t="n">
        <v>1</v>
      </c>
      <c r="F11" s="19" t="n">
        <v>2</v>
      </c>
      <c r="G11" s="19" t="n">
        <v>2</v>
      </c>
      <c r="H11" s="22"/>
      <c r="I11" s="23" t="n">
        <f aca="false">C11*$B11*(1+Assumptions!$C$35)</f>
        <v>0</v>
      </c>
      <c r="J11" s="23" t="n">
        <f aca="false">D11*$B11*(1+Assumptions!$C$35)</f>
        <v>13176000</v>
      </c>
      <c r="K11" s="23" t="n">
        <f aca="false">E11*$B11*(1+Assumptions!$C$35)</f>
        <v>13176000</v>
      </c>
      <c r="L11" s="23" t="n">
        <f aca="false">F11*$B11*(1+Assumptions!$C$35)</f>
        <v>26352000</v>
      </c>
      <c r="M11" s="23" t="n">
        <f aca="false">G11*$B11*(1+Assumptions!$C$35)</f>
        <v>26352000</v>
      </c>
      <c r="O11" s="25" t="s">
        <v>225</v>
      </c>
    </row>
    <row r="12" customFormat="false" ht="15" hidden="false" customHeight="true" outlineLevel="0" collapsed="false">
      <c r="A12" s="5" t="s">
        <v>256</v>
      </c>
      <c r="B12" s="14" t="n">
        <v>8400000</v>
      </c>
      <c r="C12" s="14" t="n">
        <v>0</v>
      </c>
      <c r="D12" s="14" t="n">
        <v>1</v>
      </c>
      <c r="E12" s="14" t="n">
        <v>3</v>
      </c>
      <c r="F12" s="14" t="n">
        <v>5</v>
      </c>
      <c r="G12" s="14" t="n">
        <v>7</v>
      </c>
      <c r="I12" s="21" t="n">
        <f aca="false">C12*$B12*(1+Assumptions!$C$35)</f>
        <v>0</v>
      </c>
      <c r="J12" s="21" t="n">
        <f aca="false">D12*$B12*(1+Assumptions!$C$35)</f>
        <v>10248000</v>
      </c>
      <c r="K12" s="21" t="n">
        <f aca="false">E12*$B12*(1+Assumptions!$C$35)</f>
        <v>30744000</v>
      </c>
      <c r="L12" s="21" t="n">
        <f aca="false">F12*$B12*(1+Assumptions!$C$35)</f>
        <v>51240000</v>
      </c>
      <c r="M12" s="21" t="n">
        <f aca="false">G12*$B12*(1+Assumptions!$C$35)</f>
        <v>71736000</v>
      </c>
      <c r="O12" s="25" t="s">
        <v>225</v>
      </c>
    </row>
    <row r="13" customFormat="false" ht="15" hidden="false" customHeight="true" outlineLevel="0" collapsed="false">
      <c r="A13" s="18" t="s">
        <v>257</v>
      </c>
      <c r="B13" s="19" t="n">
        <v>13200000</v>
      </c>
      <c r="C13" s="19" t="n">
        <v>0</v>
      </c>
      <c r="D13" s="19" t="n">
        <v>1</v>
      </c>
      <c r="E13" s="19" t="n">
        <v>2</v>
      </c>
      <c r="F13" s="19" t="n">
        <v>3</v>
      </c>
      <c r="G13" s="19" t="n">
        <v>4</v>
      </c>
      <c r="H13" s="22"/>
      <c r="I13" s="23" t="n">
        <f aca="false">C13*$B13*(1+Assumptions!$C$35)</f>
        <v>0</v>
      </c>
      <c r="J13" s="23" t="n">
        <f aca="false">D13*$B13*(1+Assumptions!$C$35)</f>
        <v>16104000</v>
      </c>
      <c r="K13" s="23" t="n">
        <f aca="false">E13*$B13*(1+Assumptions!$C$35)</f>
        <v>32208000</v>
      </c>
      <c r="L13" s="23" t="n">
        <f aca="false">F13*$B13*(1+Assumptions!$C$35)</f>
        <v>48312000</v>
      </c>
      <c r="M13" s="23" t="n">
        <f aca="false">G13*$B13*(1+Assumptions!$C$35)</f>
        <v>64416000</v>
      </c>
      <c r="O13" s="25" t="s">
        <v>225</v>
      </c>
    </row>
    <row r="14" customFormat="false" ht="15" hidden="false" customHeight="true" outlineLevel="0" collapsed="false">
      <c r="A14" s="5" t="s">
        <v>258</v>
      </c>
      <c r="B14" s="14" t="n">
        <v>8400000</v>
      </c>
      <c r="C14" s="14" t="n">
        <v>0</v>
      </c>
      <c r="D14" s="14" t="n">
        <v>1</v>
      </c>
      <c r="E14" s="14" t="n">
        <v>2</v>
      </c>
      <c r="F14" s="14" t="n">
        <v>4</v>
      </c>
      <c r="G14" s="14" t="n">
        <v>6</v>
      </c>
      <c r="I14" s="21" t="n">
        <f aca="false">C14*$B14*(1+Assumptions!$C$35)</f>
        <v>0</v>
      </c>
      <c r="J14" s="21" t="n">
        <f aca="false">D14*$B14*(1+Assumptions!$C$35)</f>
        <v>10248000</v>
      </c>
      <c r="K14" s="21" t="n">
        <f aca="false">E14*$B14*(1+Assumptions!$C$35)</f>
        <v>20496000</v>
      </c>
      <c r="L14" s="21" t="n">
        <f aca="false">F14*$B14*(1+Assumptions!$C$35)</f>
        <v>40992000</v>
      </c>
      <c r="M14" s="21" t="n">
        <f aca="false">G14*$B14*(1+Assumptions!$C$35)</f>
        <v>61488000</v>
      </c>
      <c r="O14" s="25" t="s">
        <v>225</v>
      </c>
    </row>
    <row r="15" customFormat="false" ht="15" hidden="false" customHeight="true" outlineLevel="0" collapsed="false">
      <c r="A15" s="18" t="s">
        <v>259</v>
      </c>
      <c r="B15" s="19" t="n">
        <v>7200000</v>
      </c>
      <c r="C15" s="19" t="n">
        <v>0</v>
      </c>
      <c r="D15" s="19" t="n">
        <v>0</v>
      </c>
      <c r="E15" s="19" t="n">
        <v>2</v>
      </c>
      <c r="F15" s="19" t="n">
        <v>4</v>
      </c>
      <c r="G15" s="19" t="n">
        <v>6</v>
      </c>
      <c r="H15" s="22"/>
      <c r="I15" s="23" t="n">
        <f aca="false">C15*$B15*(1+Assumptions!$C$35)</f>
        <v>0</v>
      </c>
      <c r="J15" s="23" t="n">
        <f aca="false">D15*$B15*(1+Assumptions!$C$35)</f>
        <v>0</v>
      </c>
      <c r="K15" s="23" t="n">
        <f aca="false">E15*$B15*(1+Assumptions!$C$35)</f>
        <v>17568000</v>
      </c>
      <c r="L15" s="23" t="n">
        <f aca="false">F15*$B15*(1+Assumptions!$C$35)</f>
        <v>35136000</v>
      </c>
      <c r="M15" s="23" t="n">
        <f aca="false">G15*$B15*(1+Assumptions!$C$35)</f>
        <v>52704000</v>
      </c>
      <c r="O15" s="25" t="s">
        <v>225</v>
      </c>
    </row>
    <row r="17" customFormat="false" ht="15" hidden="false" customHeight="true" outlineLevel="0" collapsed="false">
      <c r="A17" s="6" t="s">
        <v>260</v>
      </c>
      <c r="B17" s="3" t="s">
        <v>261</v>
      </c>
      <c r="C17" s="27" t="n">
        <f aca="false">SUM(C4:C15)</f>
        <v>6</v>
      </c>
      <c r="D17" s="27" t="n">
        <f aca="false">SUM(D4:D15)</f>
        <v>11</v>
      </c>
      <c r="E17" s="27" t="n">
        <f aca="false">SUM(E4:E15)</f>
        <v>19</v>
      </c>
      <c r="F17" s="27" t="n">
        <f aca="false">SUM(F4:F15)</f>
        <v>28</v>
      </c>
      <c r="G17" s="27" t="n">
        <f aca="false">SUM(G4:G15)</f>
        <v>39</v>
      </c>
      <c r="I17" s="27" t="n">
        <f aca="false">SUM(I4:I15)</f>
        <v>112728000</v>
      </c>
      <c r="J17" s="27" t="n">
        <f aca="false">SUM(J4:J15)</f>
        <v>181536000</v>
      </c>
      <c r="K17" s="27" t="n">
        <f aca="false">SUM(K4:K15)</f>
        <v>276696000</v>
      </c>
      <c r="L17" s="27" t="n">
        <f aca="false">SUM(L4:L15)</f>
        <v>383568000</v>
      </c>
      <c r="M17" s="27" t="n">
        <f aca="false">SUM(M4:M15)</f>
        <v>525576000</v>
      </c>
    </row>
    <row r="19" customFormat="false" ht="15" hidden="false" customHeight="true" outlineLevel="0" collapsed="false">
      <c r="A19" s="3" t="s">
        <v>262</v>
      </c>
    </row>
    <row r="20" customFormat="false" ht="15" hidden="false" customHeight="true" outlineLevel="0" collapsed="false">
      <c r="A20" s="3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264</v>
      </c>
    </row>
    <row r="2" customFormat="false" ht="15" hidden="false" customHeight="true" outlineLevel="0" collapsed="false">
      <c r="A2" s="3" t="s">
        <v>265</v>
      </c>
    </row>
    <row r="3" customFormat="false" ht="15" hidden="false" customHeight="true" outlineLevel="0" collapsed="false">
      <c r="A3" s="8" t="s">
        <v>266</v>
      </c>
      <c r="B3" s="9" t="s">
        <v>45</v>
      </c>
      <c r="C3" s="9" t="s">
        <v>36</v>
      </c>
      <c r="D3" s="9" t="s">
        <v>38</v>
      </c>
      <c r="E3" s="9" t="s">
        <v>40</v>
      </c>
      <c r="F3" s="9" t="s">
        <v>41</v>
      </c>
      <c r="G3" s="9" t="s">
        <v>42</v>
      </c>
    </row>
    <row r="4" customFormat="false" ht="15" hidden="false" customHeight="true" outlineLevel="0" collapsed="false">
      <c r="A4" s="5" t="s">
        <v>267</v>
      </c>
      <c r="B4" s="3" t="s">
        <v>268</v>
      </c>
      <c r="C4" s="24" t="n">
        <f aca="false">Staffing!I$17</f>
        <v>112728000</v>
      </c>
      <c r="D4" s="24" t="n">
        <f aca="false">Staffing!J$17</f>
        <v>181536000</v>
      </c>
      <c r="E4" s="24" t="n">
        <f aca="false">Staffing!K$17</f>
        <v>276696000</v>
      </c>
      <c r="F4" s="24" t="n">
        <f aca="false">Staffing!L$17</f>
        <v>383568000</v>
      </c>
      <c r="G4" s="24" t="n">
        <f aca="false">Staffing!M$17</f>
        <v>525576000</v>
      </c>
    </row>
    <row r="5" customFormat="false" ht="15" hidden="false" customHeight="true" outlineLevel="0" collapsed="false">
      <c r="A5" s="18" t="s">
        <v>269</v>
      </c>
      <c r="B5" s="20" t="s">
        <v>48</v>
      </c>
      <c r="C5" s="26" t="n">
        <f aca="false">Assumptions!C$18*Revenue!D$43</f>
        <v>22800000</v>
      </c>
      <c r="D5" s="26" t="n">
        <f aca="false">Assumptions!D$18*Revenue!E$43</f>
        <v>41760000</v>
      </c>
      <c r="E5" s="26" t="n">
        <f aca="false">Assumptions!E$18*Revenue!F$43</f>
        <v>63920000</v>
      </c>
      <c r="F5" s="26" t="n">
        <f aca="false">Assumptions!F$18*Revenue!G$43</f>
        <v>84480000</v>
      </c>
      <c r="G5" s="26" t="n">
        <f aca="false">Assumptions!G$18*Revenue!H$43</f>
        <v>108800000</v>
      </c>
    </row>
    <row r="6" customFormat="false" ht="15" hidden="false" customHeight="true" outlineLevel="0" collapsed="false">
      <c r="A6" s="5" t="s">
        <v>270</v>
      </c>
      <c r="B6" s="3" t="s">
        <v>50</v>
      </c>
      <c r="C6" s="24" t="n">
        <f aca="false">Assumptions!C$19*Revenue!D$44</f>
        <v>0</v>
      </c>
      <c r="D6" s="24" t="n">
        <f aca="false">Assumptions!D$19*Revenue!E$44</f>
        <v>6300000</v>
      </c>
      <c r="E6" s="24" t="n">
        <f aca="false">Assumptions!E$19*Revenue!F$44</f>
        <v>14355000</v>
      </c>
      <c r="F6" s="24" t="n">
        <f aca="false">Assumptions!F$19*Revenue!G$44</f>
        <v>25578000</v>
      </c>
      <c r="G6" s="24" t="n">
        <f aca="false">Assumptions!G$19*Revenue!H$44</f>
        <v>38220000</v>
      </c>
    </row>
    <row r="7" customFormat="false" ht="15" hidden="false" customHeight="true" outlineLevel="0" collapsed="false">
      <c r="A7" s="18" t="s">
        <v>271</v>
      </c>
      <c r="B7" s="20" t="s">
        <v>52</v>
      </c>
      <c r="C7" s="26" t="n">
        <f aca="false">Assumptions!C$20*Revenue!D$47</f>
        <v>20800000</v>
      </c>
      <c r="D7" s="26" t="n">
        <f aca="false">Assumptions!D$20*Revenue!E$47</f>
        <v>36240000</v>
      </c>
      <c r="E7" s="26" t="n">
        <f aca="false">Assumptions!E$20*Revenue!F$47</f>
        <v>60750000</v>
      </c>
      <c r="F7" s="26" t="n">
        <f aca="false">Assumptions!F$20*Revenue!G$47</f>
        <v>95804000</v>
      </c>
      <c r="G7" s="26" t="n">
        <f aca="false">Assumptions!G$20*Revenue!H$47</f>
        <v>143220000</v>
      </c>
    </row>
    <row r="8" customFormat="false" ht="15" hidden="false" customHeight="true" outlineLevel="0" collapsed="false">
      <c r="A8" s="5" t="s">
        <v>272</v>
      </c>
      <c r="B8" s="3" t="s">
        <v>54</v>
      </c>
      <c r="C8" s="24" t="n">
        <f aca="false">Assumptions!C$21*Revenue!D$48</f>
        <v>13500000</v>
      </c>
      <c r="D8" s="24" t="n">
        <f aca="false">Assumptions!D$21*Revenue!E$48</f>
        <v>25200000</v>
      </c>
      <c r="E8" s="24" t="n">
        <f aca="false">Assumptions!E$21*Revenue!F$48</f>
        <v>49280000</v>
      </c>
      <c r="F8" s="24" t="n">
        <f aca="false">Assumptions!F$21*Revenue!G$48</f>
        <v>114380000</v>
      </c>
      <c r="G8" s="24" t="n">
        <f aca="false">Assumptions!G$21*Revenue!H$48</f>
        <v>142800000</v>
      </c>
    </row>
    <row r="9" customFormat="false" ht="15" hidden="false" customHeight="true" outlineLevel="0" collapsed="false">
      <c r="A9" s="18" t="s">
        <v>273</v>
      </c>
      <c r="B9" s="20" t="s">
        <v>56</v>
      </c>
      <c r="C9" s="26" t="n">
        <f aca="false">Assumptions!C$22*Revenue!D$45</f>
        <v>6650000</v>
      </c>
      <c r="D9" s="26" t="n">
        <f aca="false">Assumptions!D$22*Revenue!E$45</f>
        <v>14850000</v>
      </c>
      <c r="E9" s="26" t="n">
        <f aca="false">Assumptions!E$22*Revenue!F$45</f>
        <v>31620000</v>
      </c>
      <c r="F9" s="26" t="n">
        <f aca="false">Assumptions!F$22*Revenue!G$45</f>
        <v>50700000</v>
      </c>
      <c r="G9" s="26" t="n">
        <f aca="false">Assumptions!G$22*Revenue!H$45</f>
        <v>74700000</v>
      </c>
    </row>
    <row r="10" customFormat="false" ht="15" hidden="false" customHeight="true" outlineLevel="0" collapsed="false">
      <c r="A10" s="5" t="s">
        <v>57</v>
      </c>
      <c r="B10" s="3" t="s">
        <v>58</v>
      </c>
      <c r="C10" s="24" t="n">
        <f aca="false">Assumptions!C$23*Revenue!D$52</f>
        <v>17421250</v>
      </c>
      <c r="D10" s="24" t="n">
        <f aca="false">Assumptions!D$23*Revenue!E$52</f>
        <v>37248750</v>
      </c>
      <c r="E10" s="24" t="n">
        <f aca="false">Assumptions!E$23*Revenue!F$52</f>
        <v>63538500</v>
      </c>
      <c r="F10" s="24" t="n">
        <f aca="false">Assumptions!F$23*Revenue!G$52</f>
        <v>109095000</v>
      </c>
      <c r="G10" s="24" t="n">
        <f aca="false">Assumptions!G$23*Revenue!H$52</f>
        <v>132087500</v>
      </c>
    </row>
    <row r="11" customFormat="false" ht="15" hidden="false" customHeight="true" outlineLevel="0" collapsed="false">
      <c r="A11" s="18" t="s">
        <v>59</v>
      </c>
      <c r="B11" s="20" t="s">
        <v>274</v>
      </c>
      <c r="C11" s="26" t="n">
        <f aca="false">Assumptions!C$24</f>
        <v>22000000</v>
      </c>
      <c r="D11" s="26" t="n">
        <f aca="false">Assumptions!D$24</f>
        <v>38000000</v>
      </c>
      <c r="E11" s="26" t="n">
        <f aca="false">Assumptions!E$24</f>
        <v>62000000</v>
      </c>
      <c r="F11" s="26" t="n">
        <f aca="false">Assumptions!F$24</f>
        <v>85000000</v>
      </c>
      <c r="G11" s="26" t="n">
        <f aca="false">Assumptions!G$24</f>
        <v>105000000</v>
      </c>
    </row>
    <row r="12" customFormat="false" ht="15" hidden="false" customHeight="true" outlineLevel="0" collapsed="false">
      <c r="A12" s="5" t="s">
        <v>61</v>
      </c>
      <c r="B12" s="3" t="s">
        <v>274</v>
      </c>
      <c r="C12" s="24" t="n">
        <f aca="false">Assumptions!C$25</f>
        <v>14000000</v>
      </c>
      <c r="D12" s="24" t="n">
        <f aca="false">Assumptions!D$25</f>
        <v>20000000</v>
      </c>
      <c r="E12" s="24" t="n">
        <f aca="false">Assumptions!E$25</f>
        <v>30000000</v>
      </c>
      <c r="F12" s="24" t="n">
        <f aca="false">Assumptions!F$25</f>
        <v>40000000</v>
      </c>
      <c r="G12" s="24" t="n">
        <f aca="false">Assumptions!G$25</f>
        <v>50000000</v>
      </c>
    </row>
    <row r="13" customFormat="false" ht="15" hidden="false" customHeight="true" outlineLevel="0" collapsed="false">
      <c r="A13" s="18" t="s">
        <v>62</v>
      </c>
      <c r="B13" s="20" t="s">
        <v>274</v>
      </c>
      <c r="C13" s="26" t="n">
        <f aca="false">Assumptions!C$26</f>
        <v>24000000</v>
      </c>
      <c r="D13" s="26" t="n">
        <f aca="false">Assumptions!D$26</f>
        <v>38000000</v>
      </c>
      <c r="E13" s="26" t="n">
        <f aca="false">Assumptions!E$26</f>
        <v>58000000</v>
      </c>
      <c r="F13" s="26" t="n">
        <f aca="false">Assumptions!F$26</f>
        <v>80000000</v>
      </c>
      <c r="G13" s="26" t="n">
        <f aca="false">Assumptions!G$26</f>
        <v>100000000</v>
      </c>
    </row>
    <row r="14" customFormat="false" ht="15" hidden="false" customHeight="true" outlineLevel="0" collapsed="false">
      <c r="A14" s="5" t="s">
        <v>63</v>
      </c>
      <c r="B14" s="3" t="s">
        <v>274</v>
      </c>
      <c r="C14" s="24" t="n">
        <f aca="false">Assumptions!C$27</f>
        <v>16000000</v>
      </c>
      <c r="D14" s="24" t="n">
        <f aca="false">Assumptions!D$27</f>
        <v>26000000</v>
      </c>
      <c r="E14" s="24" t="n">
        <f aca="false">Assumptions!E$27</f>
        <v>40000000</v>
      </c>
      <c r="F14" s="24" t="n">
        <f aca="false">Assumptions!F$27</f>
        <v>56000000</v>
      </c>
      <c r="G14" s="24" t="n">
        <f aca="false">Assumptions!G$27</f>
        <v>70000000</v>
      </c>
    </row>
    <row r="15" customFormat="false" ht="15" hidden="false" customHeight="true" outlineLevel="0" collapsed="false">
      <c r="A15" s="18" t="s">
        <v>64</v>
      </c>
      <c r="B15" s="20" t="s">
        <v>274</v>
      </c>
      <c r="C15" s="26" t="n">
        <f aca="false">Assumptions!C$28</f>
        <v>10000000</v>
      </c>
      <c r="D15" s="26" t="n">
        <f aca="false">Assumptions!D$28</f>
        <v>26000000</v>
      </c>
      <c r="E15" s="26" t="n">
        <f aca="false">Assumptions!E$28</f>
        <v>48000000</v>
      </c>
      <c r="F15" s="26" t="n">
        <f aca="false">Assumptions!F$28</f>
        <v>72000000</v>
      </c>
      <c r="G15" s="26" t="n">
        <f aca="false">Assumptions!G$28</f>
        <v>95000000</v>
      </c>
    </row>
    <row r="17" customFormat="false" ht="15" hidden="false" customHeight="true" outlineLevel="0" collapsed="false">
      <c r="A17" s="6" t="s">
        <v>275</v>
      </c>
      <c r="C17" s="27" t="n">
        <f aca="false">SUM(C4:C15)</f>
        <v>279899250</v>
      </c>
      <c r="D17" s="27" t="n">
        <f aca="false">SUM(D4:D15)</f>
        <v>491134750</v>
      </c>
      <c r="E17" s="27" t="n">
        <f aca="false">SUM(E4:E15)</f>
        <v>798159500</v>
      </c>
      <c r="F17" s="27" t="n">
        <f aca="false">SUM(F4:F15)</f>
        <v>1196605000</v>
      </c>
      <c r="G17" s="27" t="n">
        <f aca="false">SUM(G4:G15)</f>
        <v>1585403500</v>
      </c>
    </row>
    <row r="18" customFormat="false" ht="15" hidden="false" customHeight="true" outlineLevel="0" collapsed="false">
      <c r="A18" s="5" t="s">
        <v>276</v>
      </c>
      <c r="C18" s="21" t="n">
        <f aca="false">SUM(C5:C9)</f>
        <v>63750000</v>
      </c>
      <c r="D18" s="21" t="n">
        <f aca="false">SUM(D5:D9)</f>
        <v>124350000</v>
      </c>
      <c r="E18" s="21" t="n">
        <f aca="false">SUM(E5:E9)</f>
        <v>219925000</v>
      </c>
      <c r="F18" s="21" t="n">
        <f aca="false">SUM(F5:F9)</f>
        <v>370942000</v>
      </c>
      <c r="G18" s="21" t="n">
        <f aca="false">SUM(G5:G9)</f>
        <v>507740000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277</v>
      </c>
    </row>
    <row r="2" customFormat="false" ht="15" hidden="false" customHeight="true" outlineLevel="0" collapsed="false">
      <c r="A2" s="3" t="s">
        <v>278</v>
      </c>
    </row>
    <row r="3" customFormat="false" ht="15" hidden="false" customHeight="true" outlineLevel="0" collapsed="false">
      <c r="A3" s="8"/>
      <c r="B3" s="9"/>
      <c r="C3" s="9" t="s">
        <v>36</v>
      </c>
      <c r="D3" s="9" t="s">
        <v>38</v>
      </c>
      <c r="E3" s="9" t="s">
        <v>40</v>
      </c>
      <c r="F3" s="9" t="s">
        <v>41</v>
      </c>
      <c r="G3" s="9" t="s">
        <v>42</v>
      </c>
    </row>
    <row r="4" customFormat="false" ht="15" hidden="false" customHeight="true" outlineLevel="0" collapsed="false">
      <c r="A4" s="6" t="s">
        <v>279</v>
      </c>
      <c r="C4" s="27" t="n">
        <f aca="false">Revenue!D$52</f>
        <v>248875000</v>
      </c>
      <c r="D4" s="27" t="n">
        <f aca="false">Revenue!E$52</f>
        <v>532125000</v>
      </c>
      <c r="E4" s="27" t="n">
        <f aca="false">Revenue!F$52</f>
        <v>1058975000</v>
      </c>
      <c r="F4" s="27" t="n">
        <f aca="false">Revenue!G$52</f>
        <v>1818250000</v>
      </c>
      <c r="G4" s="27" t="n">
        <f aca="false">Revenue!H$52</f>
        <v>2641750000</v>
      </c>
    </row>
    <row r="5" customFormat="false" ht="15" hidden="false" customHeight="true" outlineLevel="0" collapsed="false">
      <c r="A5" s="5" t="s">
        <v>280</v>
      </c>
      <c r="C5" s="21" t="n">
        <f aca="false">-Costs!C$18</f>
        <v>-63750000</v>
      </c>
      <c r="D5" s="21" t="n">
        <f aca="false">-Costs!D$18</f>
        <v>-124350000</v>
      </c>
      <c r="E5" s="21" t="n">
        <f aca="false">-Costs!E$18</f>
        <v>-219925000</v>
      </c>
      <c r="F5" s="21" t="n">
        <f aca="false">-Costs!F$18</f>
        <v>-370942000</v>
      </c>
      <c r="G5" s="21" t="n">
        <f aca="false">-Costs!G$18</f>
        <v>-507740000</v>
      </c>
    </row>
    <row r="6" customFormat="false" ht="15" hidden="false" customHeight="true" outlineLevel="0" collapsed="false">
      <c r="A6" s="6" t="s">
        <v>281</v>
      </c>
      <c r="C6" s="27" t="n">
        <f aca="false">C4+C5</f>
        <v>185125000</v>
      </c>
      <c r="D6" s="27" t="n">
        <f aca="false">D4+D5</f>
        <v>407775000</v>
      </c>
      <c r="E6" s="27" t="n">
        <f aca="false">E4+E5</f>
        <v>839050000</v>
      </c>
      <c r="F6" s="27" t="n">
        <f aca="false">F4+F5</f>
        <v>1447308000</v>
      </c>
      <c r="G6" s="27" t="n">
        <f aca="false">G4+G5</f>
        <v>2134010000</v>
      </c>
    </row>
    <row r="7" customFormat="false" ht="15" hidden="false" customHeight="true" outlineLevel="0" collapsed="false">
      <c r="A7" s="5" t="s">
        <v>282</v>
      </c>
      <c r="C7" s="17" t="n">
        <f aca="false">IF(C4=0,0,C6/C4)</f>
        <v>0.743847312908086</v>
      </c>
      <c r="D7" s="17" t="n">
        <f aca="false">IF(D4=0,0,D6/D4)</f>
        <v>0.76631430584919</v>
      </c>
      <c r="E7" s="17" t="n">
        <f aca="false">IF(E4=0,0,E6/E4)</f>
        <v>0.792322764937794</v>
      </c>
      <c r="F7" s="17" t="n">
        <f aca="false">IF(F4=0,0,F6/F4)</f>
        <v>0.79598955039186</v>
      </c>
      <c r="G7" s="17" t="n">
        <f aca="false">IF(G4=0,0,G6/G4)</f>
        <v>0.807801646635753</v>
      </c>
    </row>
    <row r="8" customFormat="false" ht="15" hidden="false" customHeight="true" outlineLevel="0" collapsed="false">
      <c r="A8" s="5"/>
    </row>
    <row r="9" customFormat="false" ht="15" hidden="false" customHeight="true" outlineLevel="0" collapsed="false">
      <c r="A9" s="5" t="s">
        <v>267</v>
      </c>
      <c r="C9" s="21" t="n">
        <f aca="false">-Costs!C$4</f>
        <v>-112728000</v>
      </c>
      <c r="D9" s="21" t="n">
        <f aca="false">-Costs!D$4</f>
        <v>-181536000</v>
      </c>
      <c r="E9" s="21" t="n">
        <f aca="false">-Costs!E$4</f>
        <v>-276696000</v>
      </c>
      <c r="F9" s="21" t="n">
        <f aca="false">-Costs!F$4</f>
        <v>-383568000</v>
      </c>
      <c r="G9" s="21" t="n">
        <f aca="false">-Costs!G$4</f>
        <v>-525576000</v>
      </c>
    </row>
    <row r="10" customFormat="false" ht="15" hidden="false" customHeight="true" outlineLevel="0" collapsed="false">
      <c r="A10" s="5" t="s">
        <v>283</v>
      </c>
      <c r="C10" s="21" t="n">
        <f aca="false">-(Costs!C$17-Costs!C$18-Costs!C$4)</f>
        <v>-103421250</v>
      </c>
      <c r="D10" s="21" t="n">
        <f aca="false">-(Costs!D$17-Costs!D$18-Costs!D$4)</f>
        <v>-185248750</v>
      </c>
      <c r="E10" s="21" t="n">
        <f aca="false">-(Costs!E$17-Costs!E$18-Costs!E$4)</f>
        <v>-301538500</v>
      </c>
      <c r="F10" s="21" t="n">
        <f aca="false">-(Costs!F$17-Costs!F$18-Costs!F$4)</f>
        <v>-442095000</v>
      </c>
      <c r="G10" s="21" t="n">
        <f aca="false">-(Costs!G$17-Costs!G$18-Costs!G$4)</f>
        <v>-552087500</v>
      </c>
    </row>
    <row r="11" customFormat="false" ht="15" hidden="false" customHeight="true" outlineLevel="0" collapsed="false">
      <c r="A11" s="6" t="s">
        <v>284</v>
      </c>
      <c r="C11" s="27" t="n">
        <f aca="false">C6+C9+C10</f>
        <v>-31024250</v>
      </c>
      <c r="D11" s="27" t="n">
        <f aca="false">D6+D9+D10</f>
        <v>40990250</v>
      </c>
      <c r="E11" s="27" t="n">
        <f aca="false">E6+E9+E10</f>
        <v>260815500</v>
      </c>
      <c r="F11" s="27" t="n">
        <f aca="false">F6+F9+F10</f>
        <v>621645000</v>
      </c>
      <c r="G11" s="27" t="n">
        <f aca="false">G6+G9+G10</f>
        <v>1056346500</v>
      </c>
    </row>
    <row r="12" customFormat="false" ht="15" hidden="false" customHeight="true" outlineLevel="0" collapsed="false">
      <c r="A12" s="5" t="s">
        <v>285</v>
      </c>
      <c r="C12" s="17" t="n">
        <f aca="false">IF(C4=0,0,C11/C4)</f>
        <v>-0.124657960823707</v>
      </c>
      <c r="D12" s="17" t="n">
        <f aca="false">IF(D4=0,0,D11/D4)</f>
        <v>0.0770312426591496</v>
      </c>
      <c r="E12" s="17" t="n">
        <f aca="false">IF(E4=0,0,E11/E4)</f>
        <v>0.246290516773295</v>
      </c>
      <c r="F12" s="17" t="n">
        <f aca="false">IF(F4=0,0,F11/F4)</f>
        <v>0.341891929052661</v>
      </c>
      <c r="G12" s="17" t="n">
        <f aca="false">IF(G4=0,0,G11/G4)</f>
        <v>0.399866187186524</v>
      </c>
    </row>
    <row r="13" customFormat="false" ht="15" hidden="false" customHeight="true" outlineLevel="0" collapsed="false">
      <c r="A13" s="5"/>
    </row>
    <row r="14" customFormat="false" ht="15" hidden="false" customHeight="true" outlineLevel="0" collapsed="false">
      <c r="A14" s="5" t="s">
        <v>286</v>
      </c>
      <c r="C14" s="21" t="n">
        <f aca="false">Revenue!D$41+Revenue!D$46+Revenue!D$49+Revenue!D$50</f>
        <v>49875000</v>
      </c>
      <c r="D14" s="21" t="n">
        <f aca="false">Revenue!E$41+Revenue!E$46+Revenue!E$49+Revenue!E$50</f>
        <v>157125000</v>
      </c>
      <c r="E14" s="21" t="n">
        <f aca="false">Revenue!F$41+Revenue!F$46+Revenue!F$49+Revenue!F$50</f>
        <v>357125000</v>
      </c>
      <c r="F14" s="21" t="n">
        <f aca="false">Revenue!G$41+Revenue!G$46+Revenue!G$49+Revenue!G$50</f>
        <v>650600000</v>
      </c>
      <c r="G14" s="21" t="n">
        <f aca="false">Revenue!H$41+Revenue!H$46+Revenue!H$49+Revenue!H$50</f>
        <v>1018750000</v>
      </c>
    </row>
    <row r="15" customFormat="false" ht="15" hidden="false" customHeight="true" outlineLevel="0" collapsed="false">
      <c r="A15" s="5" t="s">
        <v>287</v>
      </c>
      <c r="C15" s="17" t="n">
        <f aca="false">IF(C4=0,0,C14/C4)</f>
        <v>0.200401808136615</v>
      </c>
      <c r="D15" s="17" t="n">
        <f aca="false">IF(D4=0,0,D14/D4)</f>
        <v>0.295278365045807</v>
      </c>
      <c r="E15" s="17" t="n">
        <f aca="false">IF(E4=0,0,E14/E4)</f>
        <v>0.337236478670412</v>
      </c>
      <c r="F15" s="17" t="n">
        <f aca="false">IF(F4=0,0,F14/F4)</f>
        <v>0.35781658187818</v>
      </c>
      <c r="G15" s="17" t="n">
        <f aca="false">IF(G4=0,0,G14/G4)</f>
        <v>0.385634522570266</v>
      </c>
    </row>
    <row r="16" customFormat="false" ht="15" hidden="false" customHeight="true" outlineLevel="0" collapsed="false">
      <c r="A16" s="5" t="s">
        <v>288</v>
      </c>
      <c r="C16" s="21" t="n">
        <f aca="false">IF(Staffing!C$17=0,0,C4/Staffing!C$17)</f>
        <v>41479166.6666667</v>
      </c>
      <c r="D16" s="21" t="n">
        <f aca="false">IF(Staffing!D$17=0,0,D4/Staffing!D$17)</f>
        <v>48375000</v>
      </c>
      <c r="E16" s="21" t="n">
        <f aca="false">IF(Staffing!E$17=0,0,E4/Staffing!E$17)</f>
        <v>55735526.3157895</v>
      </c>
      <c r="F16" s="21" t="n">
        <f aca="false">IF(Staffing!F$17=0,0,F4/Staffing!F$17)</f>
        <v>64937500</v>
      </c>
      <c r="G16" s="21" t="n">
        <f aca="false">IF(Staffing!G$17=0,0,G4/Staffing!G$17)</f>
        <v>67737179.4871795</v>
      </c>
    </row>
    <row r="18" customFormat="false" ht="15" hidden="false" customHeight="true" outlineLevel="0" collapsed="false">
      <c r="A18" s="4" t="s">
        <v>289</v>
      </c>
    </row>
    <row r="19" customFormat="false" ht="15" hidden="false" customHeight="true" outlineLevel="0" collapsed="false">
      <c r="A19" s="5" t="s">
        <v>290</v>
      </c>
      <c r="C19" s="16" t="n">
        <v>0</v>
      </c>
      <c r="D19" s="16" t="n">
        <v>0.4</v>
      </c>
      <c r="E19" s="16" t="n">
        <v>0.55</v>
      </c>
      <c r="F19" s="16" t="n">
        <v>0.6</v>
      </c>
      <c r="G19" s="16" t="n">
        <v>0.6</v>
      </c>
    </row>
    <row r="20" customFormat="false" ht="15" hidden="false" customHeight="true" outlineLevel="0" collapsed="false">
      <c r="A20" s="5" t="s">
        <v>291</v>
      </c>
      <c r="C20" s="21" t="n">
        <f aca="false">-MAX(0,C11)*C19</f>
        <v>-0</v>
      </c>
      <c r="D20" s="21" t="n">
        <f aca="false">-MAX(0,D11)*D19</f>
        <v>-16396100</v>
      </c>
      <c r="E20" s="21" t="n">
        <f aca="false">-MAX(0,E11)*E19</f>
        <v>-143448525</v>
      </c>
      <c r="F20" s="21" t="n">
        <f aca="false">-MAX(0,F11)*F19</f>
        <v>-372987000</v>
      </c>
      <c r="G20" s="21" t="n">
        <f aca="false">-MAX(0,G11)*G19</f>
        <v>-633807900</v>
      </c>
    </row>
    <row r="21" customFormat="false" ht="15" hidden="false" customHeight="true" outlineLevel="0" collapsed="false">
      <c r="A21" s="6" t="s">
        <v>292</v>
      </c>
      <c r="C21" s="27" t="n">
        <f aca="false">C11+C20</f>
        <v>-31024250</v>
      </c>
      <c r="D21" s="27" t="n">
        <f aca="false">D11+D20</f>
        <v>24594150</v>
      </c>
      <c r="E21" s="27" t="n">
        <f aca="false">E11+E20</f>
        <v>117366975</v>
      </c>
      <c r="F21" s="27" t="n">
        <f aca="false">F11+F20</f>
        <v>248658000</v>
      </c>
      <c r="G21" s="27" t="n">
        <f aca="false">G11+G20</f>
        <v>422538600</v>
      </c>
    </row>
    <row r="23" customFormat="false" ht="45.75" hidden="false" customHeight="true" outlineLevel="0" collapsed="false">
      <c r="A23" s="29" t="s">
        <v>293</v>
      </c>
      <c r="B23" s="29"/>
      <c r="C23" s="29"/>
      <c r="D23" s="29"/>
      <c r="E23" s="29"/>
      <c r="F23" s="29"/>
      <c r="G23" s="29"/>
      <c r="H23" s="29"/>
    </row>
  </sheetData>
  <mergeCells count="1"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1" min="2" style="1" width="12"/>
  </cols>
  <sheetData>
    <row r="1" customFormat="false" ht="17.25" hidden="false" customHeight="true" outlineLevel="0" collapsed="false">
      <c r="A1" s="2" t="s">
        <v>294</v>
      </c>
    </row>
    <row r="2" customFormat="false" ht="15" hidden="false" customHeight="true" outlineLevel="0" collapsed="false">
      <c r="A2" s="3" t="s">
        <v>295</v>
      </c>
    </row>
    <row r="4" customFormat="false" ht="15" hidden="false" customHeight="true" outlineLevel="0" collapsed="false">
      <c r="A4" s="6" t="s">
        <v>296</v>
      </c>
      <c r="B4" s="27" t="n">
        <v>1</v>
      </c>
      <c r="C4" s="27" t="n">
        <v>2</v>
      </c>
      <c r="D4" s="27" t="n">
        <v>3</v>
      </c>
      <c r="E4" s="27" t="n">
        <v>4</v>
      </c>
      <c r="F4" s="27" t="n">
        <v>5</v>
      </c>
      <c r="G4" s="27" t="n">
        <v>6</v>
      </c>
      <c r="H4" s="27" t="n">
        <v>7</v>
      </c>
      <c r="I4" s="27" t="n">
        <v>8</v>
      </c>
      <c r="J4" s="27" t="n">
        <v>9</v>
      </c>
      <c r="K4" s="27" t="n">
        <v>10</v>
      </c>
      <c r="L4" s="27" t="n">
        <v>11</v>
      </c>
      <c r="M4" s="27" t="n">
        <v>12</v>
      </c>
      <c r="N4" s="27" t="n">
        <v>13</v>
      </c>
      <c r="O4" s="27" t="n">
        <v>14</v>
      </c>
      <c r="P4" s="27" t="n">
        <v>15</v>
      </c>
      <c r="Q4" s="27" t="n">
        <v>16</v>
      </c>
      <c r="R4" s="27" t="n">
        <v>17</v>
      </c>
      <c r="S4" s="27" t="n">
        <v>18</v>
      </c>
      <c r="T4" s="27" t="n">
        <v>19</v>
      </c>
      <c r="U4" s="27" t="n">
        <v>20</v>
      </c>
      <c r="V4" s="27" t="n">
        <v>21</v>
      </c>
      <c r="W4" s="27" t="n">
        <v>22</v>
      </c>
      <c r="X4" s="27" t="n">
        <v>23</v>
      </c>
      <c r="Y4" s="27" t="n">
        <v>24</v>
      </c>
      <c r="Z4" s="27" t="n">
        <v>25</v>
      </c>
      <c r="AA4" s="27" t="n">
        <v>26</v>
      </c>
      <c r="AB4" s="27" t="n">
        <v>27</v>
      </c>
      <c r="AC4" s="27" t="n">
        <v>28</v>
      </c>
      <c r="AD4" s="27" t="n">
        <v>29</v>
      </c>
      <c r="AE4" s="27" t="n">
        <v>30</v>
      </c>
      <c r="AF4" s="27" t="n">
        <v>31</v>
      </c>
      <c r="AG4" s="27" t="n">
        <v>32</v>
      </c>
      <c r="AH4" s="27" t="n">
        <v>33</v>
      </c>
      <c r="AI4" s="27" t="n">
        <v>34</v>
      </c>
      <c r="AJ4" s="27" t="n">
        <v>35</v>
      </c>
      <c r="AK4" s="27" t="n">
        <v>36</v>
      </c>
      <c r="AL4" s="27" t="n">
        <v>37</v>
      </c>
      <c r="AM4" s="27" t="n">
        <v>38</v>
      </c>
      <c r="AN4" s="27" t="n">
        <v>39</v>
      </c>
      <c r="AO4" s="27" t="n">
        <v>40</v>
      </c>
      <c r="AP4" s="27" t="n">
        <v>41</v>
      </c>
      <c r="AQ4" s="27" t="n">
        <v>42</v>
      </c>
      <c r="AR4" s="27" t="n">
        <v>43</v>
      </c>
      <c r="AS4" s="27" t="n">
        <v>44</v>
      </c>
      <c r="AT4" s="27" t="n">
        <v>45</v>
      </c>
      <c r="AU4" s="27" t="n">
        <v>46</v>
      </c>
      <c r="AV4" s="27" t="n">
        <v>47</v>
      </c>
      <c r="AW4" s="27" t="n">
        <v>48</v>
      </c>
      <c r="AX4" s="27" t="n">
        <v>49</v>
      </c>
      <c r="AY4" s="27" t="n">
        <v>50</v>
      </c>
      <c r="AZ4" s="27" t="n">
        <v>51</v>
      </c>
      <c r="BA4" s="27" t="n">
        <v>52</v>
      </c>
      <c r="BB4" s="27" t="n">
        <v>53</v>
      </c>
      <c r="BC4" s="27" t="n">
        <v>54</v>
      </c>
      <c r="BD4" s="27" t="n">
        <v>55</v>
      </c>
      <c r="BE4" s="27" t="n">
        <v>56</v>
      </c>
      <c r="BF4" s="27" t="n">
        <v>57</v>
      </c>
      <c r="BG4" s="27" t="n">
        <v>58</v>
      </c>
      <c r="BH4" s="27" t="n">
        <v>59</v>
      </c>
      <c r="BI4" s="27" t="n">
        <v>60</v>
      </c>
    </row>
    <row r="5" customFormat="false" ht="15" hidden="false" customHeight="true" outlineLevel="0" collapsed="false">
      <c r="A5" s="6" t="s">
        <v>297</v>
      </c>
      <c r="B5" s="3" t="n">
        <f aca="false">ROUNDUP(B4/12,0)</f>
        <v>1</v>
      </c>
      <c r="C5" s="3" t="n">
        <f aca="false">ROUNDUP(C4/12,0)</f>
        <v>1</v>
      </c>
      <c r="D5" s="3" t="n">
        <f aca="false">ROUNDUP(D4/12,0)</f>
        <v>1</v>
      </c>
      <c r="E5" s="3" t="n">
        <f aca="false">ROUNDUP(E4/12,0)</f>
        <v>1</v>
      </c>
      <c r="F5" s="3" t="n">
        <f aca="false">ROUNDUP(F4/12,0)</f>
        <v>1</v>
      </c>
      <c r="G5" s="3" t="n">
        <f aca="false">ROUNDUP(G4/12,0)</f>
        <v>1</v>
      </c>
      <c r="H5" s="3" t="n">
        <f aca="false">ROUNDUP(H4/12,0)</f>
        <v>1</v>
      </c>
      <c r="I5" s="3" t="n">
        <f aca="false">ROUNDUP(I4/12,0)</f>
        <v>1</v>
      </c>
      <c r="J5" s="3" t="n">
        <f aca="false">ROUNDUP(J4/12,0)</f>
        <v>1</v>
      </c>
      <c r="K5" s="3" t="n">
        <f aca="false">ROUNDUP(K4/12,0)</f>
        <v>1</v>
      </c>
      <c r="L5" s="3" t="n">
        <f aca="false">ROUNDUP(L4/12,0)</f>
        <v>1</v>
      </c>
      <c r="M5" s="3" t="n">
        <f aca="false">ROUNDUP(M4/12,0)</f>
        <v>1</v>
      </c>
      <c r="N5" s="3" t="n">
        <f aca="false">ROUNDUP(N4/12,0)</f>
        <v>2</v>
      </c>
      <c r="O5" s="3" t="n">
        <f aca="false">ROUNDUP(O4/12,0)</f>
        <v>2</v>
      </c>
      <c r="P5" s="3" t="n">
        <f aca="false">ROUNDUP(P4/12,0)</f>
        <v>2</v>
      </c>
      <c r="Q5" s="3" t="n">
        <f aca="false">ROUNDUP(Q4/12,0)</f>
        <v>2</v>
      </c>
      <c r="R5" s="3" t="n">
        <f aca="false">ROUNDUP(R4/12,0)</f>
        <v>2</v>
      </c>
      <c r="S5" s="3" t="n">
        <f aca="false">ROUNDUP(S4/12,0)</f>
        <v>2</v>
      </c>
      <c r="T5" s="3" t="n">
        <f aca="false">ROUNDUP(T4/12,0)</f>
        <v>2</v>
      </c>
      <c r="U5" s="3" t="n">
        <f aca="false">ROUNDUP(U4/12,0)</f>
        <v>2</v>
      </c>
      <c r="V5" s="3" t="n">
        <f aca="false">ROUNDUP(V4/12,0)</f>
        <v>2</v>
      </c>
      <c r="W5" s="3" t="n">
        <f aca="false">ROUNDUP(W4/12,0)</f>
        <v>2</v>
      </c>
      <c r="X5" s="3" t="n">
        <f aca="false">ROUNDUP(X4/12,0)</f>
        <v>2</v>
      </c>
      <c r="Y5" s="3" t="n">
        <f aca="false">ROUNDUP(Y4/12,0)</f>
        <v>2</v>
      </c>
      <c r="Z5" s="3" t="n">
        <f aca="false">ROUNDUP(Z4/12,0)</f>
        <v>3</v>
      </c>
      <c r="AA5" s="3" t="n">
        <f aca="false">ROUNDUP(AA4/12,0)</f>
        <v>3</v>
      </c>
      <c r="AB5" s="3" t="n">
        <f aca="false">ROUNDUP(AB4/12,0)</f>
        <v>3</v>
      </c>
      <c r="AC5" s="3" t="n">
        <f aca="false">ROUNDUP(AC4/12,0)</f>
        <v>3</v>
      </c>
      <c r="AD5" s="3" t="n">
        <f aca="false">ROUNDUP(AD4/12,0)</f>
        <v>3</v>
      </c>
      <c r="AE5" s="3" t="n">
        <f aca="false">ROUNDUP(AE4/12,0)</f>
        <v>3</v>
      </c>
      <c r="AF5" s="3" t="n">
        <f aca="false">ROUNDUP(AF4/12,0)</f>
        <v>3</v>
      </c>
      <c r="AG5" s="3" t="n">
        <f aca="false">ROUNDUP(AG4/12,0)</f>
        <v>3</v>
      </c>
      <c r="AH5" s="3" t="n">
        <f aca="false">ROUNDUP(AH4/12,0)</f>
        <v>3</v>
      </c>
      <c r="AI5" s="3" t="n">
        <f aca="false">ROUNDUP(AI4/12,0)</f>
        <v>3</v>
      </c>
      <c r="AJ5" s="3" t="n">
        <f aca="false">ROUNDUP(AJ4/12,0)</f>
        <v>3</v>
      </c>
      <c r="AK5" s="3" t="n">
        <f aca="false">ROUNDUP(AK4/12,0)</f>
        <v>3</v>
      </c>
      <c r="AL5" s="3" t="n">
        <f aca="false">ROUNDUP(AL4/12,0)</f>
        <v>4</v>
      </c>
      <c r="AM5" s="3" t="n">
        <f aca="false">ROUNDUP(AM4/12,0)</f>
        <v>4</v>
      </c>
      <c r="AN5" s="3" t="n">
        <f aca="false">ROUNDUP(AN4/12,0)</f>
        <v>4</v>
      </c>
      <c r="AO5" s="3" t="n">
        <f aca="false">ROUNDUP(AO4/12,0)</f>
        <v>4</v>
      </c>
      <c r="AP5" s="3" t="n">
        <f aca="false">ROUNDUP(AP4/12,0)</f>
        <v>4</v>
      </c>
      <c r="AQ5" s="3" t="n">
        <f aca="false">ROUNDUP(AQ4/12,0)</f>
        <v>4</v>
      </c>
      <c r="AR5" s="3" t="n">
        <f aca="false">ROUNDUP(AR4/12,0)</f>
        <v>4</v>
      </c>
      <c r="AS5" s="3" t="n">
        <f aca="false">ROUNDUP(AS4/12,0)</f>
        <v>4</v>
      </c>
      <c r="AT5" s="3" t="n">
        <f aca="false">ROUNDUP(AT4/12,0)</f>
        <v>4</v>
      </c>
      <c r="AU5" s="3" t="n">
        <f aca="false">ROUNDUP(AU4/12,0)</f>
        <v>4</v>
      </c>
      <c r="AV5" s="3" t="n">
        <f aca="false">ROUNDUP(AV4/12,0)</f>
        <v>4</v>
      </c>
      <c r="AW5" s="3" t="n">
        <f aca="false">ROUNDUP(AW4/12,0)</f>
        <v>4</v>
      </c>
      <c r="AX5" s="3" t="n">
        <f aca="false">ROUNDUP(AX4/12,0)</f>
        <v>5</v>
      </c>
      <c r="AY5" s="3" t="n">
        <f aca="false">ROUNDUP(AY4/12,0)</f>
        <v>5</v>
      </c>
      <c r="AZ5" s="3" t="n">
        <f aca="false">ROUNDUP(AZ4/12,0)</f>
        <v>5</v>
      </c>
      <c r="BA5" s="3" t="n">
        <f aca="false">ROUNDUP(BA4/12,0)</f>
        <v>5</v>
      </c>
      <c r="BB5" s="3" t="n">
        <f aca="false">ROUNDUP(BB4/12,0)</f>
        <v>5</v>
      </c>
      <c r="BC5" s="3" t="n">
        <f aca="false">ROUNDUP(BC4/12,0)</f>
        <v>5</v>
      </c>
      <c r="BD5" s="3" t="n">
        <f aca="false">ROUNDUP(BD4/12,0)</f>
        <v>5</v>
      </c>
      <c r="BE5" s="3" t="n">
        <f aca="false">ROUNDUP(BE4/12,0)</f>
        <v>5</v>
      </c>
      <c r="BF5" s="3" t="n">
        <f aca="false">ROUNDUP(BF4/12,0)</f>
        <v>5</v>
      </c>
      <c r="BG5" s="3" t="n">
        <f aca="false">ROUNDUP(BG4/12,0)</f>
        <v>5</v>
      </c>
      <c r="BH5" s="3" t="n">
        <f aca="false">ROUNDUP(BH4/12,0)</f>
        <v>5</v>
      </c>
      <c r="BI5" s="3" t="n">
        <f aca="false">ROUNDUP(BI4/12,0)</f>
        <v>5</v>
      </c>
    </row>
    <row r="6" customFormat="false" ht="15" hidden="false" customHeight="true" outlineLevel="0" collapsed="false">
      <c r="A6" s="6" t="s">
        <v>298</v>
      </c>
      <c r="B6" s="3" t="n">
        <f aca="false">B4-12*(B5-1)</f>
        <v>1</v>
      </c>
      <c r="C6" s="3" t="n">
        <f aca="false">C4-12*(C5-1)</f>
        <v>2</v>
      </c>
      <c r="D6" s="3" t="n">
        <f aca="false">D4-12*(D5-1)</f>
        <v>3</v>
      </c>
      <c r="E6" s="3" t="n">
        <f aca="false">E4-12*(E5-1)</f>
        <v>4</v>
      </c>
      <c r="F6" s="3" t="n">
        <f aca="false">F4-12*(F5-1)</f>
        <v>5</v>
      </c>
      <c r="G6" s="3" t="n">
        <f aca="false">G4-12*(G5-1)</f>
        <v>6</v>
      </c>
      <c r="H6" s="3" t="n">
        <f aca="false">H4-12*(H5-1)</f>
        <v>7</v>
      </c>
      <c r="I6" s="3" t="n">
        <f aca="false">I4-12*(I5-1)</f>
        <v>8</v>
      </c>
      <c r="J6" s="3" t="n">
        <f aca="false">J4-12*(J5-1)</f>
        <v>9</v>
      </c>
      <c r="K6" s="3" t="n">
        <f aca="false">K4-12*(K5-1)</f>
        <v>10</v>
      </c>
      <c r="L6" s="3" t="n">
        <f aca="false">L4-12*(L5-1)</f>
        <v>11</v>
      </c>
      <c r="M6" s="3" t="n">
        <f aca="false">M4-12*(M5-1)</f>
        <v>12</v>
      </c>
      <c r="N6" s="3" t="n">
        <f aca="false">N4-12*(N5-1)</f>
        <v>1</v>
      </c>
      <c r="O6" s="3" t="n">
        <f aca="false">O4-12*(O5-1)</f>
        <v>2</v>
      </c>
      <c r="P6" s="3" t="n">
        <f aca="false">P4-12*(P5-1)</f>
        <v>3</v>
      </c>
      <c r="Q6" s="3" t="n">
        <f aca="false">Q4-12*(Q5-1)</f>
        <v>4</v>
      </c>
      <c r="R6" s="3" t="n">
        <f aca="false">R4-12*(R5-1)</f>
        <v>5</v>
      </c>
      <c r="S6" s="3" t="n">
        <f aca="false">S4-12*(S5-1)</f>
        <v>6</v>
      </c>
      <c r="T6" s="3" t="n">
        <f aca="false">T4-12*(T5-1)</f>
        <v>7</v>
      </c>
      <c r="U6" s="3" t="n">
        <f aca="false">U4-12*(U5-1)</f>
        <v>8</v>
      </c>
      <c r="V6" s="3" t="n">
        <f aca="false">V4-12*(V5-1)</f>
        <v>9</v>
      </c>
      <c r="W6" s="3" t="n">
        <f aca="false">W4-12*(W5-1)</f>
        <v>10</v>
      </c>
      <c r="X6" s="3" t="n">
        <f aca="false">X4-12*(X5-1)</f>
        <v>11</v>
      </c>
      <c r="Y6" s="3" t="n">
        <f aca="false">Y4-12*(Y5-1)</f>
        <v>12</v>
      </c>
      <c r="Z6" s="3" t="n">
        <f aca="false">Z4-12*(Z5-1)</f>
        <v>1</v>
      </c>
      <c r="AA6" s="3" t="n">
        <f aca="false">AA4-12*(AA5-1)</f>
        <v>2</v>
      </c>
      <c r="AB6" s="3" t="n">
        <f aca="false">AB4-12*(AB5-1)</f>
        <v>3</v>
      </c>
      <c r="AC6" s="3" t="n">
        <f aca="false">AC4-12*(AC5-1)</f>
        <v>4</v>
      </c>
      <c r="AD6" s="3" t="n">
        <f aca="false">AD4-12*(AD5-1)</f>
        <v>5</v>
      </c>
      <c r="AE6" s="3" t="n">
        <f aca="false">AE4-12*(AE5-1)</f>
        <v>6</v>
      </c>
      <c r="AF6" s="3" t="n">
        <f aca="false">AF4-12*(AF5-1)</f>
        <v>7</v>
      </c>
      <c r="AG6" s="3" t="n">
        <f aca="false">AG4-12*(AG5-1)</f>
        <v>8</v>
      </c>
      <c r="AH6" s="3" t="n">
        <f aca="false">AH4-12*(AH5-1)</f>
        <v>9</v>
      </c>
      <c r="AI6" s="3" t="n">
        <f aca="false">AI4-12*(AI5-1)</f>
        <v>10</v>
      </c>
      <c r="AJ6" s="3" t="n">
        <f aca="false">AJ4-12*(AJ5-1)</f>
        <v>11</v>
      </c>
      <c r="AK6" s="3" t="n">
        <f aca="false">AK4-12*(AK5-1)</f>
        <v>12</v>
      </c>
      <c r="AL6" s="3" t="n">
        <f aca="false">AL4-12*(AL5-1)</f>
        <v>1</v>
      </c>
      <c r="AM6" s="3" t="n">
        <f aca="false">AM4-12*(AM5-1)</f>
        <v>2</v>
      </c>
      <c r="AN6" s="3" t="n">
        <f aca="false">AN4-12*(AN5-1)</f>
        <v>3</v>
      </c>
      <c r="AO6" s="3" t="n">
        <f aca="false">AO4-12*(AO5-1)</f>
        <v>4</v>
      </c>
      <c r="AP6" s="3" t="n">
        <f aca="false">AP4-12*(AP5-1)</f>
        <v>5</v>
      </c>
      <c r="AQ6" s="3" t="n">
        <f aca="false">AQ4-12*(AQ5-1)</f>
        <v>6</v>
      </c>
      <c r="AR6" s="3" t="n">
        <f aca="false">AR4-12*(AR5-1)</f>
        <v>7</v>
      </c>
      <c r="AS6" s="3" t="n">
        <f aca="false">AS4-12*(AS5-1)</f>
        <v>8</v>
      </c>
      <c r="AT6" s="3" t="n">
        <f aca="false">AT4-12*(AT5-1)</f>
        <v>9</v>
      </c>
      <c r="AU6" s="3" t="n">
        <f aca="false">AU4-12*(AU5-1)</f>
        <v>10</v>
      </c>
      <c r="AV6" s="3" t="n">
        <f aca="false">AV4-12*(AV5-1)</f>
        <v>11</v>
      </c>
      <c r="AW6" s="3" t="n">
        <f aca="false">AW4-12*(AW5-1)</f>
        <v>12</v>
      </c>
      <c r="AX6" s="3" t="n">
        <f aca="false">AX4-12*(AX5-1)</f>
        <v>1</v>
      </c>
      <c r="AY6" s="3" t="n">
        <f aca="false">AY4-12*(AY5-1)</f>
        <v>2</v>
      </c>
      <c r="AZ6" s="3" t="n">
        <f aca="false">AZ4-12*(AZ5-1)</f>
        <v>3</v>
      </c>
      <c r="BA6" s="3" t="n">
        <f aca="false">BA4-12*(BA5-1)</f>
        <v>4</v>
      </c>
      <c r="BB6" s="3" t="n">
        <f aca="false">BB4-12*(BB5-1)</f>
        <v>5</v>
      </c>
      <c r="BC6" s="3" t="n">
        <f aca="false">BC4-12*(BC5-1)</f>
        <v>6</v>
      </c>
      <c r="BD6" s="3" t="n">
        <f aca="false">BD4-12*(BD5-1)</f>
        <v>7</v>
      </c>
      <c r="BE6" s="3" t="n">
        <f aca="false">BE4-12*(BE5-1)</f>
        <v>8</v>
      </c>
      <c r="BF6" s="3" t="n">
        <f aca="false">BF4-12*(BF5-1)</f>
        <v>9</v>
      </c>
      <c r="BG6" s="3" t="n">
        <f aca="false">BG4-12*(BG5-1)</f>
        <v>10</v>
      </c>
      <c r="BH6" s="3" t="n">
        <f aca="false">BH4-12*(BH5-1)</f>
        <v>11</v>
      </c>
      <c r="BI6" s="3" t="n">
        <f aca="false">BI4-12*(BI5-1)</f>
        <v>12</v>
      </c>
    </row>
    <row r="8" customFormat="false" ht="15" hidden="false" customHeight="true" outlineLevel="0" collapsed="false">
      <c r="A8" s="4" t="s">
        <v>299</v>
      </c>
    </row>
    <row r="9" customFormat="false" ht="15" hidden="false" customHeight="true" outlineLevel="0" collapsed="false">
      <c r="A9" s="5" t="s">
        <v>92</v>
      </c>
      <c r="B9" s="21" t="n">
        <f aca="false">INDEX(Revenue!$D$41:$H$41,1,B$5)*INDEX(Assumptions!$B$41:$M$41,1,B$6)</f>
        <v>14962500</v>
      </c>
      <c r="C9" s="21" t="n">
        <f aca="false">INDEX(Revenue!$D$41:$H$41,1,C$5)*INDEX(Assumptions!$B$41:$M$41,1,C$6)</f>
        <v>4987500</v>
      </c>
      <c r="D9" s="21" t="n">
        <f aca="false">INDEX(Revenue!$D$41:$H$41,1,D$5)*INDEX(Assumptions!$B$41:$M$41,1,D$6)</f>
        <v>3990000</v>
      </c>
      <c r="E9" s="21" t="n">
        <f aca="false">INDEX(Revenue!$D$41:$H$41,1,E$5)*INDEX(Assumptions!$B$41:$M$41,1,E$6)</f>
        <v>2992500</v>
      </c>
      <c r="F9" s="21" t="n">
        <f aca="false">INDEX(Revenue!$D$41:$H$41,1,F$5)*INDEX(Assumptions!$B$41:$M$41,1,F$6)</f>
        <v>2992500</v>
      </c>
      <c r="G9" s="21" t="n">
        <f aca="false">INDEX(Revenue!$D$41:$H$41,1,G$5)*INDEX(Assumptions!$B$41:$M$41,1,G$6)</f>
        <v>2493750</v>
      </c>
      <c r="H9" s="21" t="n">
        <f aca="false">INDEX(Revenue!$D$41:$H$41,1,H$5)*INDEX(Assumptions!$B$41:$M$41,1,H$6)</f>
        <v>2493750</v>
      </c>
      <c r="I9" s="21" t="n">
        <f aca="false">INDEX(Revenue!$D$41:$H$41,1,I$5)*INDEX(Assumptions!$B$41:$M$41,1,I$6)</f>
        <v>2493750</v>
      </c>
      <c r="J9" s="21" t="n">
        <f aca="false">INDEX(Revenue!$D$41:$H$41,1,J$5)*INDEX(Assumptions!$B$41:$M$41,1,J$6)</f>
        <v>2992500</v>
      </c>
      <c r="K9" s="21" t="n">
        <f aca="false">INDEX(Revenue!$D$41:$H$41,1,K$5)*INDEX(Assumptions!$B$41:$M$41,1,K$6)</f>
        <v>2992500</v>
      </c>
      <c r="L9" s="21" t="n">
        <f aca="false">INDEX(Revenue!$D$41:$H$41,1,L$5)*INDEX(Assumptions!$B$41:$M$41,1,L$6)</f>
        <v>3491250</v>
      </c>
      <c r="M9" s="21" t="n">
        <f aca="false">INDEX(Revenue!$D$41:$H$41,1,M$5)*INDEX(Assumptions!$B$41:$M$41,1,M$6)</f>
        <v>2992500</v>
      </c>
      <c r="N9" s="21" t="n">
        <f aca="false">INDEX(Revenue!$D$41:$H$41,1,N$5)*INDEX(Assumptions!$B$41:$M$41,1,N$6)</f>
        <v>34687500</v>
      </c>
      <c r="O9" s="21" t="n">
        <f aca="false">INDEX(Revenue!$D$41:$H$41,1,O$5)*INDEX(Assumptions!$B$41:$M$41,1,O$6)</f>
        <v>11562500</v>
      </c>
      <c r="P9" s="21" t="n">
        <f aca="false">INDEX(Revenue!$D$41:$H$41,1,P$5)*INDEX(Assumptions!$B$41:$M$41,1,P$6)</f>
        <v>9250000</v>
      </c>
      <c r="Q9" s="21" t="n">
        <f aca="false">INDEX(Revenue!$D$41:$H$41,1,Q$5)*INDEX(Assumptions!$B$41:$M$41,1,Q$6)</f>
        <v>6937500</v>
      </c>
      <c r="R9" s="21" t="n">
        <f aca="false">INDEX(Revenue!$D$41:$H$41,1,R$5)*INDEX(Assumptions!$B$41:$M$41,1,R$6)</f>
        <v>6937500</v>
      </c>
      <c r="S9" s="21" t="n">
        <f aca="false">INDEX(Revenue!$D$41:$H$41,1,S$5)*INDEX(Assumptions!$B$41:$M$41,1,S$6)</f>
        <v>5781250</v>
      </c>
      <c r="T9" s="21" t="n">
        <f aca="false">INDEX(Revenue!$D$41:$H$41,1,T$5)*INDEX(Assumptions!$B$41:$M$41,1,T$6)</f>
        <v>5781250</v>
      </c>
      <c r="U9" s="21" t="n">
        <f aca="false">INDEX(Revenue!$D$41:$H$41,1,U$5)*INDEX(Assumptions!$B$41:$M$41,1,U$6)</f>
        <v>5781250</v>
      </c>
      <c r="V9" s="21" t="n">
        <f aca="false">INDEX(Revenue!$D$41:$H$41,1,V$5)*INDEX(Assumptions!$B$41:$M$41,1,V$6)</f>
        <v>6937500</v>
      </c>
      <c r="W9" s="21" t="n">
        <f aca="false">INDEX(Revenue!$D$41:$H$41,1,W$5)*INDEX(Assumptions!$B$41:$M$41,1,W$6)</f>
        <v>6937500</v>
      </c>
      <c r="X9" s="21" t="n">
        <f aca="false">INDEX(Revenue!$D$41:$H$41,1,X$5)*INDEX(Assumptions!$B$41:$M$41,1,X$6)</f>
        <v>8093750</v>
      </c>
      <c r="Y9" s="21" t="n">
        <f aca="false">INDEX(Revenue!$D$41:$H$41,1,Y$5)*INDEX(Assumptions!$B$41:$M$41,1,Y$6)</f>
        <v>6937500</v>
      </c>
      <c r="Z9" s="21" t="n">
        <f aca="false">INDEX(Revenue!$D$41:$H$41,1,Z$5)*INDEX(Assumptions!$B$41:$M$41,1,Z$6)</f>
        <v>66187500</v>
      </c>
      <c r="AA9" s="21" t="n">
        <f aca="false">INDEX(Revenue!$D$41:$H$41,1,AA$5)*INDEX(Assumptions!$B$41:$M$41,1,AA$6)</f>
        <v>22062500</v>
      </c>
      <c r="AB9" s="21" t="n">
        <f aca="false">INDEX(Revenue!$D$41:$H$41,1,AB$5)*INDEX(Assumptions!$B$41:$M$41,1,AB$6)</f>
        <v>17650000</v>
      </c>
      <c r="AC9" s="21" t="n">
        <f aca="false">INDEX(Revenue!$D$41:$H$41,1,AC$5)*INDEX(Assumptions!$B$41:$M$41,1,AC$6)</f>
        <v>13237500</v>
      </c>
      <c r="AD9" s="21" t="n">
        <f aca="false">INDEX(Revenue!$D$41:$H$41,1,AD$5)*INDEX(Assumptions!$B$41:$M$41,1,AD$6)</f>
        <v>13237500</v>
      </c>
      <c r="AE9" s="21" t="n">
        <f aca="false">INDEX(Revenue!$D$41:$H$41,1,AE$5)*INDEX(Assumptions!$B$41:$M$41,1,AE$6)</f>
        <v>11031250</v>
      </c>
      <c r="AF9" s="21" t="n">
        <f aca="false">INDEX(Revenue!$D$41:$H$41,1,AF$5)*INDEX(Assumptions!$B$41:$M$41,1,AF$6)</f>
        <v>11031250</v>
      </c>
      <c r="AG9" s="21" t="n">
        <f aca="false">INDEX(Revenue!$D$41:$H$41,1,AG$5)*INDEX(Assumptions!$B$41:$M$41,1,AG$6)</f>
        <v>11031250</v>
      </c>
      <c r="AH9" s="21" t="n">
        <f aca="false">INDEX(Revenue!$D$41:$H$41,1,AH$5)*INDEX(Assumptions!$B$41:$M$41,1,AH$6)</f>
        <v>13237500</v>
      </c>
      <c r="AI9" s="21" t="n">
        <f aca="false">INDEX(Revenue!$D$41:$H$41,1,AI$5)*INDEX(Assumptions!$B$41:$M$41,1,AI$6)</f>
        <v>13237500</v>
      </c>
      <c r="AJ9" s="21" t="n">
        <f aca="false">INDEX(Revenue!$D$41:$H$41,1,AJ$5)*INDEX(Assumptions!$B$41:$M$41,1,AJ$6)</f>
        <v>15443750</v>
      </c>
      <c r="AK9" s="21" t="n">
        <f aca="false">INDEX(Revenue!$D$41:$H$41,1,AK$5)*INDEX(Assumptions!$B$41:$M$41,1,AK$6)</f>
        <v>13237500</v>
      </c>
      <c r="AL9" s="21" t="n">
        <f aca="false">INDEX(Revenue!$D$41:$H$41,1,AL$5)*INDEX(Assumptions!$B$41:$M$41,1,AL$6)</f>
        <v>114150000</v>
      </c>
      <c r="AM9" s="21" t="n">
        <f aca="false">INDEX(Revenue!$D$41:$H$41,1,AM$5)*INDEX(Assumptions!$B$41:$M$41,1,AM$6)</f>
        <v>38050000</v>
      </c>
      <c r="AN9" s="21" t="n">
        <f aca="false">INDEX(Revenue!$D$41:$H$41,1,AN$5)*INDEX(Assumptions!$B$41:$M$41,1,AN$6)</f>
        <v>30440000</v>
      </c>
      <c r="AO9" s="21" t="n">
        <f aca="false">INDEX(Revenue!$D$41:$H$41,1,AO$5)*INDEX(Assumptions!$B$41:$M$41,1,AO$6)</f>
        <v>22830000</v>
      </c>
      <c r="AP9" s="21" t="n">
        <f aca="false">INDEX(Revenue!$D$41:$H$41,1,AP$5)*INDEX(Assumptions!$B$41:$M$41,1,AP$6)</f>
        <v>22830000</v>
      </c>
      <c r="AQ9" s="21" t="n">
        <f aca="false">INDEX(Revenue!$D$41:$H$41,1,AQ$5)*INDEX(Assumptions!$B$41:$M$41,1,AQ$6)</f>
        <v>19025000</v>
      </c>
      <c r="AR9" s="21" t="n">
        <f aca="false">INDEX(Revenue!$D$41:$H$41,1,AR$5)*INDEX(Assumptions!$B$41:$M$41,1,AR$6)</f>
        <v>19025000</v>
      </c>
      <c r="AS9" s="21" t="n">
        <f aca="false">INDEX(Revenue!$D$41:$H$41,1,AS$5)*INDEX(Assumptions!$B$41:$M$41,1,AS$6)</f>
        <v>19025000</v>
      </c>
      <c r="AT9" s="21" t="n">
        <f aca="false">INDEX(Revenue!$D$41:$H$41,1,AT$5)*INDEX(Assumptions!$B$41:$M$41,1,AT$6)</f>
        <v>22830000</v>
      </c>
      <c r="AU9" s="21" t="n">
        <f aca="false">INDEX(Revenue!$D$41:$H$41,1,AU$5)*INDEX(Assumptions!$B$41:$M$41,1,AU$6)</f>
        <v>22830000</v>
      </c>
      <c r="AV9" s="21" t="n">
        <f aca="false">INDEX(Revenue!$D$41:$H$41,1,AV$5)*INDEX(Assumptions!$B$41:$M$41,1,AV$6)</f>
        <v>26635000</v>
      </c>
      <c r="AW9" s="21" t="n">
        <f aca="false">INDEX(Revenue!$D$41:$H$41,1,AW$5)*INDEX(Assumptions!$B$41:$M$41,1,AW$6)</f>
        <v>22830000</v>
      </c>
      <c r="AX9" s="21" t="n">
        <f aca="false">INDEX(Revenue!$D$41:$H$41,1,AX$5)*INDEX(Assumptions!$B$41:$M$41,1,AX$6)</f>
        <v>175275000</v>
      </c>
      <c r="AY9" s="21" t="n">
        <f aca="false">INDEX(Revenue!$D$41:$H$41,1,AY$5)*INDEX(Assumptions!$B$41:$M$41,1,AY$6)</f>
        <v>58425000</v>
      </c>
      <c r="AZ9" s="21" t="n">
        <f aca="false">INDEX(Revenue!$D$41:$H$41,1,AZ$5)*INDEX(Assumptions!$B$41:$M$41,1,AZ$6)</f>
        <v>46740000</v>
      </c>
      <c r="BA9" s="21" t="n">
        <f aca="false">INDEX(Revenue!$D$41:$H$41,1,BA$5)*INDEX(Assumptions!$B$41:$M$41,1,BA$6)</f>
        <v>35055000</v>
      </c>
      <c r="BB9" s="21" t="n">
        <f aca="false">INDEX(Revenue!$D$41:$H$41,1,BB$5)*INDEX(Assumptions!$B$41:$M$41,1,BB$6)</f>
        <v>35055000</v>
      </c>
      <c r="BC9" s="21" t="n">
        <f aca="false">INDEX(Revenue!$D$41:$H$41,1,BC$5)*INDEX(Assumptions!$B$41:$M$41,1,BC$6)</f>
        <v>29212500</v>
      </c>
      <c r="BD9" s="21" t="n">
        <f aca="false">INDEX(Revenue!$D$41:$H$41,1,BD$5)*INDEX(Assumptions!$B$41:$M$41,1,BD$6)</f>
        <v>29212500</v>
      </c>
      <c r="BE9" s="21" t="n">
        <f aca="false">INDEX(Revenue!$D$41:$H$41,1,BE$5)*INDEX(Assumptions!$B$41:$M$41,1,BE$6)</f>
        <v>29212500</v>
      </c>
      <c r="BF9" s="21" t="n">
        <f aca="false">INDEX(Revenue!$D$41:$H$41,1,BF$5)*INDEX(Assumptions!$B$41:$M$41,1,BF$6)</f>
        <v>35055000</v>
      </c>
      <c r="BG9" s="21" t="n">
        <f aca="false">INDEX(Revenue!$D$41:$H$41,1,BG$5)*INDEX(Assumptions!$B$41:$M$41,1,BG$6)</f>
        <v>35055000</v>
      </c>
      <c r="BH9" s="21" t="n">
        <f aca="false">INDEX(Revenue!$D$41:$H$41,1,BH$5)*INDEX(Assumptions!$B$41:$M$41,1,BH$6)</f>
        <v>40897500</v>
      </c>
      <c r="BI9" s="21" t="n">
        <f aca="false">INDEX(Revenue!$D$41:$H$41,1,BI$5)*INDEX(Assumptions!$B$41:$M$41,1,BI$6)</f>
        <v>35055000</v>
      </c>
    </row>
    <row r="10" customFormat="false" ht="15" hidden="false" customHeight="true" outlineLevel="0" collapsed="false">
      <c r="A10" s="5" t="s">
        <v>93</v>
      </c>
      <c r="B10" s="21" t="n">
        <f aca="false">INDEX(Revenue!$D$42:$H$42,1,B$5)*INDEX(Assumptions!$B$42:$M$42,1,B$6)</f>
        <v>0</v>
      </c>
      <c r="C10" s="21" t="n">
        <f aca="false">INDEX(Revenue!$D$42:$H$42,1,C$5)*INDEX(Assumptions!$B$42:$M$42,1,C$6)</f>
        <v>17500000</v>
      </c>
      <c r="D10" s="21" t="n">
        <f aca="false">INDEX(Revenue!$D$42:$H$42,1,D$5)*INDEX(Assumptions!$B$42:$M$42,1,D$6)</f>
        <v>5000000</v>
      </c>
      <c r="E10" s="21" t="n">
        <f aca="false">INDEX(Revenue!$D$42:$H$42,1,E$5)*INDEX(Assumptions!$B$42:$M$42,1,E$6)</f>
        <v>2500000</v>
      </c>
      <c r="F10" s="21" t="n">
        <f aca="false">INDEX(Revenue!$D$42:$H$42,1,F$5)*INDEX(Assumptions!$B$42:$M$42,1,F$6)</f>
        <v>2500000</v>
      </c>
      <c r="G10" s="21" t="n">
        <f aca="false">INDEX(Revenue!$D$42:$H$42,1,G$5)*INDEX(Assumptions!$B$42:$M$42,1,G$6)</f>
        <v>2500000</v>
      </c>
      <c r="H10" s="21" t="n">
        <f aca="false">INDEX(Revenue!$D$42:$H$42,1,H$5)*INDEX(Assumptions!$B$42:$M$42,1,H$6)</f>
        <v>12500000</v>
      </c>
      <c r="I10" s="21" t="n">
        <f aca="false">INDEX(Revenue!$D$42:$H$42,1,I$5)*INDEX(Assumptions!$B$42:$M$42,1,I$6)</f>
        <v>2500000</v>
      </c>
      <c r="J10" s="21" t="n">
        <f aca="false">INDEX(Revenue!$D$42:$H$42,1,J$5)*INDEX(Assumptions!$B$42:$M$42,1,J$6)</f>
        <v>1500000</v>
      </c>
      <c r="K10" s="21" t="n">
        <f aca="false">INDEX(Revenue!$D$42:$H$42,1,K$5)*INDEX(Assumptions!$B$42:$M$42,1,K$6)</f>
        <v>1500000</v>
      </c>
      <c r="L10" s="21" t="n">
        <f aca="false">INDEX(Revenue!$D$42:$H$42,1,L$5)*INDEX(Assumptions!$B$42:$M$42,1,L$6)</f>
        <v>1000000</v>
      </c>
      <c r="M10" s="21" t="n">
        <f aca="false">INDEX(Revenue!$D$42:$H$42,1,M$5)*INDEX(Assumptions!$B$42:$M$42,1,M$6)</f>
        <v>1000000</v>
      </c>
      <c r="N10" s="21" t="n">
        <f aca="false">INDEX(Revenue!$D$42:$H$42,1,N$5)*INDEX(Assumptions!$B$42:$M$42,1,N$6)</f>
        <v>0</v>
      </c>
      <c r="O10" s="21" t="n">
        <f aca="false">INDEX(Revenue!$D$42:$H$42,1,O$5)*INDEX(Assumptions!$B$42:$M$42,1,O$6)</f>
        <v>22575000</v>
      </c>
      <c r="P10" s="21" t="n">
        <f aca="false">INDEX(Revenue!$D$42:$H$42,1,P$5)*INDEX(Assumptions!$B$42:$M$42,1,P$6)</f>
        <v>6450000</v>
      </c>
      <c r="Q10" s="21" t="n">
        <f aca="false">INDEX(Revenue!$D$42:$H$42,1,Q$5)*INDEX(Assumptions!$B$42:$M$42,1,Q$6)</f>
        <v>3225000</v>
      </c>
      <c r="R10" s="21" t="n">
        <f aca="false">INDEX(Revenue!$D$42:$H$42,1,R$5)*INDEX(Assumptions!$B$42:$M$42,1,R$6)</f>
        <v>3225000</v>
      </c>
      <c r="S10" s="21" t="n">
        <f aca="false">INDEX(Revenue!$D$42:$H$42,1,S$5)*INDEX(Assumptions!$B$42:$M$42,1,S$6)</f>
        <v>3225000</v>
      </c>
      <c r="T10" s="21" t="n">
        <f aca="false">INDEX(Revenue!$D$42:$H$42,1,T$5)*INDEX(Assumptions!$B$42:$M$42,1,T$6)</f>
        <v>16125000</v>
      </c>
      <c r="U10" s="21" t="n">
        <f aca="false">INDEX(Revenue!$D$42:$H$42,1,U$5)*INDEX(Assumptions!$B$42:$M$42,1,U$6)</f>
        <v>3225000</v>
      </c>
      <c r="V10" s="21" t="n">
        <f aca="false">INDEX(Revenue!$D$42:$H$42,1,V$5)*INDEX(Assumptions!$B$42:$M$42,1,V$6)</f>
        <v>1935000</v>
      </c>
      <c r="W10" s="21" t="n">
        <f aca="false">INDEX(Revenue!$D$42:$H$42,1,W$5)*INDEX(Assumptions!$B$42:$M$42,1,W$6)</f>
        <v>1935000</v>
      </c>
      <c r="X10" s="21" t="n">
        <f aca="false">INDEX(Revenue!$D$42:$H$42,1,X$5)*INDEX(Assumptions!$B$42:$M$42,1,X$6)</f>
        <v>1290000</v>
      </c>
      <c r="Y10" s="21" t="n">
        <f aca="false">INDEX(Revenue!$D$42:$H$42,1,Y$5)*INDEX(Assumptions!$B$42:$M$42,1,Y$6)</f>
        <v>1290000</v>
      </c>
      <c r="Z10" s="21" t="n">
        <f aca="false">INDEX(Revenue!$D$42:$H$42,1,Z$5)*INDEX(Assumptions!$B$42:$M$42,1,Z$6)</f>
        <v>0</v>
      </c>
      <c r="AA10" s="21" t="n">
        <f aca="false">INDEX(Revenue!$D$42:$H$42,1,AA$5)*INDEX(Assumptions!$B$42:$M$42,1,AA$6)</f>
        <v>40950000</v>
      </c>
      <c r="AB10" s="21" t="n">
        <f aca="false">INDEX(Revenue!$D$42:$H$42,1,AB$5)*INDEX(Assumptions!$B$42:$M$42,1,AB$6)</f>
        <v>11700000</v>
      </c>
      <c r="AC10" s="21" t="n">
        <f aca="false">INDEX(Revenue!$D$42:$H$42,1,AC$5)*INDEX(Assumptions!$B$42:$M$42,1,AC$6)</f>
        <v>5850000</v>
      </c>
      <c r="AD10" s="21" t="n">
        <f aca="false">INDEX(Revenue!$D$42:$H$42,1,AD$5)*INDEX(Assumptions!$B$42:$M$42,1,AD$6)</f>
        <v>5850000</v>
      </c>
      <c r="AE10" s="21" t="n">
        <f aca="false">INDEX(Revenue!$D$42:$H$42,1,AE$5)*INDEX(Assumptions!$B$42:$M$42,1,AE$6)</f>
        <v>5850000</v>
      </c>
      <c r="AF10" s="21" t="n">
        <f aca="false">INDEX(Revenue!$D$42:$H$42,1,AF$5)*INDEX(Assumptions!$B$42:$M$42,1,AF$6)</f>
        <v>29250000</v>
      </c>
      <c r="AG10" s="21" t="n">
        <f aca="false">INDEX(Revenue!$D$42:$H$42,1,AG$5)*INDEX(Assumptions!$B$42:$M$42,1,AG$6)</f>
        <v>5850000</v>
      </c>
      <c r="AH10" s="21" t="n">
        <f aca="false">INDEX(Revenue!$D$42:$H$42,1,AH$5)*INDEX(Assumptions!$B$42:$M$42,1,AH$6)</f>
        <v>3510000</v>
      </c>
      <c r="AI10" s="21" t="n">
        <f aca="false">INDEX(Revenue!$D$42:$H$42,1,AI$5)*INDEX(Assumptions!$B$42:$M$42,1,AI$6)</f>
        <v>3510000</v>
      </c>
      <c r="AJ10" s="21" t="n">
        <f aca="false">INDEX(Revenue!$D$42:$H$42,1,AJ$5)*INDEX(Assumptions!$B$42:$M$42,1,AJ$6)</f>
        <v>2340000</v>
      </c>
      <c r="AK10" s="21" t="n">
        <f aca="false">INDEX(Revenue!$D$42:$H$42,1,AK$5)*INDEX(Assumptions!$B$42:$M$42,1,AK$6)</f>
        <v>2340000</v>
      </c>
      <c r="AL10" s="21" t="n">
        <f aca="false">INDEX(Revenue!$D$42:$H$42,1,AL$5)*INDEX(Assumptions!$B$42:$M$42,1,AL$6)</f>
        <v>0</v>
      </c>
      <c r="AM10" s="21" t="n">
        <f aca="false">INDEX(Revenue!$D$42:$H$42,1,AM$5)*INDEX(Assumptions!$B$42:$M$42,1,AM$6)</f>
        <v>56875000</v>
      </c>
      <c r="AN10" s="21" t="n">
        <f aca="false">INDEX(Revenue!$D$42:$H$42,1,AN$5)*INDEX(Assumptions!$B$42:$M$42,1,AN$6)</f>
        <v>16250000</v>
      </c>
      <c r="AO10" s="21" t="n">
        <f aca="false">INDEX(Revenue!$D$42:$H$42,1,AO$5)*INDEX(Assumptions!$B$42:$M$42,1,AO$6)</f>
        <v>8125000</v>
      </c>
      <c r="AP10" s="21" t="n">
        <f aca="false">INDEX(Revenue!$D$42:$H$42,1,AP$5)*INDEX(Assumptions!$B$42:$M$42,1,AP$6)</f>
        <v>8125000</v>
      </c>
      <c r="AQ10" s="21" t="n">
        <f aca="false">INDEX(Revenue!$D$42:$H$42,1,AQ$5)*INDEX(Assumptions!$B$42:$M$42,1,AQ$6)</f>
        <v>8125000</v>
      </c>
      <c r="AR10" s="21" t="n">
        <f aca="false">INDEX(Revenue!$D$42:$H$42,1,AR$5)*INDEX(Assumptions!$B$42:$M$42,1,AR$6)</f>
        <v>40625000</v>
      </c>
      <c r="AS10" s="21" t="n">
        <f aca="false">INDEX(Revenue!$D$42:$H$42,1,AS$5)*INDEX(Assumptions!$B$42:$M$42,1,AS$6)</f>
        <v>8125000</v>
      </c>
      <c r="AT10" s="21" t="n">
        <f aca="false">INDEX(Revenue!$D$42:$H$42,1,AT$5)*INDEX(Assumptions!$B$42:$M$42,1,AT$6)</f>
        <v>4875000</v>
      </c>
      <c r="AU10" s="21" t="n">
        <f aca="false">INDEX(Revenue!$D$42:$H$42,1,AU$5)*INDEX(Assumptions!$B$42:$M$42,1,AU$6)</f>
        <v>4875000</v>
      </c>
      <c r="AV10" s="21" t="n">
        <f aca="false">INDEX(Revenue!$D$42:$H$42,1,AV$5)*INDEX(Assumptions!$B$42:$M$42,1,AV$6)</f>
        <v>3250000</v>
      </c>
      <c r="AW10" s="21" t="n">
        <f aca="false">INDEX(Revenue!$D$42:$H$42,1,AW$5)*INDEX(Assumptions!$B$42:$M$42,1,AW$6)</f>
        <v>3250000</v>
      </c>
      <c r="AX10" s="21" t="n">
        <f aca="false">INDEX(Revenue!$D$42:$H$42,1,AX$5)*INDEX(Assumptions!$B$42:$M$42,1,AX$6)</f>
        <v>0</v>
      </c>
      <c r="AY10" s="21" t="n">
        <f aca="false">INDEX(Revenue!$D$42:$H$42,1,AY$5)*INDEX(Assumptions!$B$42:$M$42,1,AY$6)</f>
        <v>72100000</v>
      </c>
      <c r="AZ10" s="21" t="n">
        <f aca="false">INDEX(Revenue!$D$42:$H$42,1,AZ$5)*INDEX(Assumptions!$B$42:$M$42,1,AZ$6)</f>
        <v>20600000</v>
      </c>
      <c r="BA10" s="21" t="n">
        <f aca="false">INDEX(Revenue!$D$42:$H$42,1,BA$5)*INDEX(Assumptions!$B$42:$M$42,1,BA$6)</f>
        <v>10300000</v>
      </c>
      <c r="BB10" s="21" t="n">
        <f aca="false">INDEX(Revenue!$D$42:$H$42,1,BB$5)*INDEX(Assumptions!$B$42:$M$42,1,BB$6)</f>
        <v>10300000</v>
      </c>
      <c r="BC10" s="21" t="n">
        <f aca="false">INDEX(Revenue!$D$42:$H$42,1,BC$5)*INDEX(Assumptions!$B$42:$M$42,1,BC$6)</f>
        <v>10300000</v>
      </c>
      <c r="BD10" s="21" t="n">
        <f aca="false">INDEX(Revenue!$D$42:$H$42,1,BD$5)*INDEX(Assumptions!$B$42:$M$42,1,BD$6)</f>
        <v>51500000</v>
      </c>
      <c r="BE10" s="21" t="n">
        <f aca="false">INDEX(Revenue!$D$42:$H$42,1,BE$5)*INDEX(Assumptions!$B$42:$M$42,1,BE$6)</f>
        <v>10300000</v>
      </c>
      <c r="BF10" s="21" t="n">
        <f aca="false">INDEX(Revenue!$D$42:$H$42,1,BF$5)*INDEX(Assumptions!$B$42:$M$42,1,BF$6)</f>
        <v>6180000</v>
      </c>
      <c r="BG10" s="21" t="n">
        <f aca="false">INDEX(Revenue!$D$42:$H$42,1,BG$5)*INDEX(Assumptions!$B$42:$M$42,1,BG$6)</f>
        <v>6180000</v>
      </c>
      <c r="BH10" s="21" t="n">
        <f aca="false">INDEX(Revenue!$D$42:$H$42,1,BH$5)*INDEX(Assumptions!$B$42:$M$42,1,BH$6)</f>
        <v>4120000</v>
      </c>
      <c r="BI10" s="21" t="n">
        <f aca="false">INDEX(Revenue!$D$42:$H$42,1,BI$5)*INDEX(Assumptions!$B$42:$M$42,1,BI$6)</f>
        <v>4120000</v>
      </c>
    </row>
    <row r="11" customFormat="false" ht="15" hidden="false" customHeight="true" outlineLevel="0" collapsed="false">
      <c r="A11" s="5" t="s">
        <v>94</v>
      </c>
      <c r="B11" s="21" t="n">
        <f aca="false">INDEX(Revenue!$D$43:$H$43,1,B$5)*INDEX(Assumptions!$B$43:$M$43,1,B$6)</f>
        <v>0</v>
      </c>
      <c r="C11" s="21" t="n">
        <f aca="false">INDEX(Revenue!$D$43:$H$43,1,C$5)*INDEX(Assumptions!$B$43:$M$43,1,C$6)</f>
        <v>1200000</v>
      </c>
      <c r="D11" s="21" t="n">
        <f aca="false">INDEX(Revenue!$D$43:$H$43,1,D$5)*INDEX(Assumptions!$B$43:$M$43,1,D$6)</f>
        <v>6000000</v>
      </c>
      <c r="E11" s="21" t="n">
        <f aca="false">INDEX(Revenue!$D$43:$H$43,1,E$5)*INDEX(Assumptions!$B$43:$M$43,1,E$6)</f>
        <v>7200000</v>
      </c>
      <c r="F11" s="21" t="n">
        <f aca="false">INDEX(Revenue!$D$43:$H$43,1,F$5)*INDEX(Assumptions!$B$43:$M$43,1,F$6)</f>
        <v>7200000</v>
      </c>
      <c r="G11" s="21" t="n">
        <f aca="false">INDEX(Revenue!$D$43:$H$43,1,G$5)*INDEX(Assumptions!$B$43:$M$43,1,G$6)</f>
        <v>4800000</v>
      </c>
      <c r="H11" s="21" t="n">
        <f aca="false">INDEX(Revenue!$D$43:$H$43,1,H$5)*INDEX(Assumptions!$B$43:$M$43,1,H$6)</f>
        <v>2400000</v>
      </c>
      <c r="I11" s="21" t="n">
        <f aca="false">INDEX(Revenue!$D$43:$H$43,1,I$5)*INDEX(Assumptions!$B$43:$M$43,1,I$6)</f>
        <v>4800000</v>
      </c>
      <c r="J11" s="21" t="n">
        <f aca="false">INDEX(Revenue!$D$43:$H$43,1,J$5)*INDEX(Assumptions!$B$43:$M$43,1,J$6)</f>
        <v>7200000</v>
      </c>
      <c r="K11" s="21" t="n">
        <f aca="false">INDEX(Revenue!$D$43:$H$43,1,K$5)*INDEX(Assumptions!$B$43:$M$43,1,K$6)</f>
        <v>8400000</v>
      </c>
      <c r="L11" s="21" t="n">
        <f aca="false">INDEX(Revenue!$D$43:$H$43,1,L$5)*INDEX(Assumptions!$B$43:$M$43,1,L$6)</f>
        <v>7200000</v>
      </c>
      <c r="M11" s="21" t="n">
        <f aca="false">INDEX(Revenue!$D$43:$H$43,1,M$5)*INDEX(Assumptions!$B$43:$M$43,1,M$6)</f>
        <v>3600000</v>
      </c>
      <c r="N11" s="21" t="n">
        <f aca="false">INDEX(Revenue!$D$43:$H$43,1,N$5)*INDEX(Assumptions!$B$43:$M$43,1,N$6)</f>
        <v>0</v>
      </c>
      <c r="O11" s="21" t="n">
        <f aca="false">INDEX(Revenue!$D$43:$H$43,1,O$5)*INDEX(Assumptions!$B$43:$M$43,1,O$6)</f>
        <v>2320000</v>
      </c>
      <c r="P11" s="21" t="n">
        <f aca="false">INDEX(Revenue!$D$43:$H$43,1,P$5)*INDEX(Assumptions!$B$43:$M$43,1,P$6)</f>
        <v>11600000</v>
      </c>
      <c r="Q11" s="21" t="n">
        <f aca="false">INDEX(Revenue!$D$43:$H$43,1,Q$5)*INDEX(Assumptions!$B$43:$M$43,1,Q$6)</f>
        <v>13920000</v>
      </c>
      <c r="R11" s="21" t="n">
        <f aca="false">INDEX(Revenue!$D$43:$H$43,1,R$5)*INDEX(Assumptions!$B$43:$M$43,1,R$6)</f>
        <v>13920000</v>
      </c>
      <c r="S11" s="21" t="n">
        <f aca="false">INDEX(Revenue!$D$43:$H$43,1,S$5)*INDEX(Assumptions!$B$43:$M$43,1,S$6)</f>
        <v>9280000</v>
      </c>
      <c r="T11" s="21" t="n">
        <f aca="false">INDEX(Revenue!$D$43:$H$43,1,T$5)*INDEX(Assumptions!$B$43:$M$43,1,T$6)</f>
        <v>4640000</v>
      </c>
      <c r="U11" s="21" t="n">
        <f aca="false">INDEX(Revenue!$D$43:$H$43,1,U$5)*INDEX(Assumptions!$B$43:$M$43,1,U$6)</f>
        <v>9280000</v>
      </c>
      <c r="V11" s="21" t="n">
        <f aca="false">INDEX(Revenue!$D$43:$H$43,1,V$5)*INDEX(Assumptions!$B$43:$M$43,1,V$6)</f>
        <v>13920000</v>
      </c>
      <c r="W11" s="21" t="n">
        <f aca="false">INDEX(Revenue!$D$43:$H$43,1,W$5)*INDEX(Assumptions!$B$43:$M$43,1,W$6)</f>
        <v>16240000</v>
      </c>
      <c r="X11" s="21" t="n">
        <f aca="false">INDEX(Revenue!$D$43:$H$43,1,X$5)*INDEX(Assumptions!$B$43:$M$43,1,X$6)</f>
        <v>13920000</v>
      </c>
      <c r="Y11" s="21" t="n">
        <f aca="false">INDEX(Revenue!$D$43:$H$43,1,Y$5)*INDEX(Assumptions!$B$43:$M$43,1,Y$6)</f>
        <v>6960000</v>
      </c>
      <c r="Z11" s="21" t="n">
        <f aca="false">INDEX(Revenue!$D$43:$H$43,1,Z$5)*INDEX(Assumptions!$B$43:$M$43,1,Z$6)</f>
        <v>0</v>
      </c>
      <c r="AA11" s="21" t="n">
        <f aca="false">INDEX(Revenue!$D$43:$H$43,1,AA$5)*INDEX(Assumptions!$B$43:$M$43,1,AA$6)</f>
        <v>3760000</v>
      </c>
      <c r="AB11" s="21" t="n">
        <f aca="false">INDEX(Revenue!$D$43:$H$43,1,AB$5)*INDEX(Assumptions!$B$43:$M$43,1,AB$6)</f>
        <v>18800000</v>
      </c>
      <c r="AC11" s="21" t="n">
        <f aca="false">INDEX(Revenue!$D$43:$H$43,1,AC$5)*INDEX(Assumptions!$B$43:$M$43,1,AC$6)</f>
        <v>22560000</v>
      </c>
      <c r="AD11" s="21" t="n">
        <f aca="false">INDEX(Revenue!$D$43:$H$43,1,AD$5)*INDEX(Assumptions!$B$43:$M$43,1,AD$6)</f>
        <v>22560000</v>
      </c>
      <c r="AE11" s="21" t="n">
        <f aca="false">INDEX(Revenue!$D$43:$H$43,1,AE$5)*INDEX(Assumptions!$B$43:$M$43,1,AE$6)</f>
        <v>15040000</v>
      </c>
      <c r="AF11" s="21" t="n">
        <f aca="false">INDEX(Revenue!$D$43:$H$43,1,AF$5)*INDEX(Assumptions!$B$43:$M$43,1,AF$6)</f>
        <v>7520000</v>
      </c>
      <c r="AG11" s="21" t="n">
        <f aca="false">INDEX(Revenue!$D$43:$H$43,1,AG$5)*INDEX(Assumptions!$B$43:$M$43,1,AG$6)</f>
        <v>15040000</v>
      </c>
      <c r="AH11" s="21" t="n">
        <f aca="false">INDEX(Revenue!$D$43:$H$43,1,AH$5)*INDEX(Assumptions!$B$43:$M$43,1,AH$6)</f>
        <v>22560000</v>
      </c>
      <c r="AI11" s="21" t="n">
        <f aca="false">INDEX(Revenue!$D$43:$H$43,1,AI$5)*INDEX(Assumptions!$B$43:$M$43,1,AI$6)</f>
        <v>26320000</v>
      </c>
      <c r="AJ11" s="21" t="n">
        <f aca="false">INDEX(Revenue!$D$43:$H$43,1,AJ$5)*INDEX(Assumptions!$B$43:$M$43,1,AJ$6)</f>
        <v>22560000</v>
      </c>
      <c r="AK11" s="21" t="n">
        <f aca="false">INDEX(Revenue!$D$43:$H$43,1,AK$5)*INDEX(Assumptions!$B$43:$M$43,1,AK$6)</f>
        <v>11280000</v>
      </c>
      <c r="AL11" s="21" t="n">
        <f aca="false">INDEX(Revenue!$D$43:$H$43,1,AL$5)*INDEX(Assumptions!$B$43:$M$43,1,AL$6)</f>
        <v>0</v>
      </c>
      <c r="AM11" s="21" t="n">
        <f aca="false">INDEX(Revenue!$D$43:$H$43,1,AM$5)*INDEX(Assumptions!$B$43:$M$43,1,AM$6)</f>
        <v>5120000</v>
      </c>
      <c r="AN11" s="21" t="n">
        <f aca="false">INDEX(Revenue!$D$43:$H$43,1,AN$5)*INDEX(Assumptions!$B$43:$M$43,1,AN$6)</f>
        <v>25600000</v>
      </c>
      <c r="AO11" s="21" t="n">
        <f aca="false">INDEX(Revenue!$D$43:$H$43,1,AO$5)*INDEX(Assumptions!$B$43:$M$43,1,AO$6)</f>
        <v>30720000</v>
      </c>
      <c r="AP11" s="21" t="n">
        <f aca="false">INDEX(Revenue!$D$43:$H$43,1,AP$5)*INDEX(Assumptions!$B$43:$M$43,1,AP$6)</f>
        <v>30720000</v>
      </c>
      <c r="AQ11" s="21" t="n">
        <f aca="false">INDEX(Revenue!$D$43:$H$43,1,AQ$5)*INDEX(Assumptions!$B$43:$M$43,1,AQ$6)</f>
        <v>20480000</v>
      </c>
      <c r="AR11" s="21" t="n">
        <f aca="false">INDEX(Revenue!$D$43:$H$43,1,AR$5)*INDEX(Assumptions!$B$43:$M$43,1,AR$6)</f>
        <v>10240000</v>
      </c>
      <c r="AS11" s="21" t="n">
        <f aca="false">INDEX(Revenue!$D$43:$H$43,1,AS$5)*INDEX(Assumptions!$B$43:$M$43,1,AS$6)</f>
        <v>20480000</v>
      </c>
      <c r="AT11" s="21" t="n">
        <f aca="false">INDEX(Revenue!$D$43:$H$43,1,AT$5)*INDEX(Assumptions!$B$43:$M$43,1,AT$6)</f>
        <v>30720000</v>
      </c>
      <c r="AU11" s="21" t="n">
        <f aca="false">INDEX(Revenue!$D$43:$H$43,1,AU$5)*INDEX(Assumptions!$B$43:$M$43,1,AU$6)</f>
        <v>35840000</v>
      </c>
      <c r="AV11" s="21" t="n">
        <f aca="false">INDEX(Revenue!$D$43:$H$43,1,AV$5)*INDEX(Assumptions!$B$43:$M$43,1,AV$6)</f>
        <v>30720000</v>
      </c>
      <c r="AW11" s="21" t="n">
        <f aca="false">INDEX(Revenue!$D$43:$H$43,1,AW$5)*INDEX(Assumptions!$B$43:$M$43,1,AW$6)</f>
        <v>15360000</v>
      </c>
      <c r="AX11" s="21" t="n">
        <f aca="false">INDEX(Revenue!$D$43:$H$43,1,AX$5)*INDEX(Assumptions!$B$43:$M$43,1,AX$6)</f>
        <v>0</v>
      </c>
      <c r="AY11" s="21" t="n">
        <f aca="false">INDEX(Revenue!$D$43:$H$43,1,AY$5)*INDEX(Assumptions!$B$43:$M$43,1,AY$6)</f>
        <v>6800000</v>
      </c>
      <c r="AZ11" s="21" t="n">
        <f aca="false">INDEX(Revenue!$D$43:$H$43,1,AZ$5)*INDEX(Assumptions!$B$43:$M$43,1,AZ$6)</f>
        <v>34000000</v>
      </c>
      <c r="BA11" s="21" t="n">
        <f aca="false">INDEX(Revenue!$D$43:$H$43,1,BA$5)*INDEX(Assumptions!$B$43:$M$43,1,BA$6)</f>
        <v>40800000</v>
      </c>
      <c r="BB11" s="21" t="n">
        <f aca="false">INDEX(Revenue!$D$43:$H$43,1,BB$5)*INDEX(Assumptions!$B$43:$M$43,1,BB$6)</f>
        <v>40800000</v>
      </c>
      <c r="BC11" s="21" t="n">
        <f aca="false">INDEX(Revenue!$D$43:$H$43,1,BC$5)*INDEX(Assumptions!$B$43:$M$43,1,BC$6)</f>
        <v>27200000</v>
      </c>
      <c r="BD11" s="21" t="n">
        <f aca="false">INDEX(Revenue!$D$43:$H$43,1,BD$5)*INDEX(Assumptions!$B$43:$M$43,1,BD$6)</f>
        <v>13600000</v>
      </c>
      <c r="BE11" s="21" t="n">
        <f aca="false">INDEX(Revenue!$D$43:$H$43,1,BE$5)*INDEX(Assumptions!$B$43:$M$43,1,BE$6)</f>
        <v>27200000</v>
      </c>
      <c r="BF11" s="21" t="n">
        <f aca="false">INDEX(Revenue!$D$43:$H$43,1,BF$5)*INDEX(Assumptions!$B$43:$M$43,1,BF$6)</f>
        <v>40800000</v>
      </c>
      <c r="BG11" s="21" t="n">
        <f aca="false">INDEX(Revenue!$D$43:$H$43,1,BG$5)*INDEX(Assumptions!$B$43:$M$43,1,BG$6)</f>
        <v>47600000</v>
      </c>
      <c r="BH11" s="21" t="n">
        <f aca="false">INDEX(Revenue!$D$43:$H$43,1,BH$5)*INDEX(Assumptions!$B$43:$M$43,1,BH$6)</f>
        <v>40800000</v>
      </c>
      <c r="BI11" s="21" t="n">
        <f aca="false">INDEX(Revenue!$D$43:$H$43,1,BI$5)*INDEX(Assumptions!$B$43:$M$43,1,BI$6)</f>
        <v>20400000</v>
      </c>
    </row>
    <row r="12" customFormat="false" ht="15" hidden="false" customHeight="true" outlineLevel="0" collapsed="false">
      <c r="A12" s="5" t="s">
        <v>95</v>
      </c>
      <c r="B12" s="21" t="n">
        <f aca="false">INDEX(Revenue!$D$44:$H$44,1,B$5)*INDEX(Assumptions!$B$44:$M$44,1,B$6)</f>
        <v>0</v>
      </c>
      <c r="C12" s="21" t="n">
        <f aca="false">INDEX(Revenue!$D$44:$H$44,1,C$5)*INDEX(Assumptions!$B$44:$M$44,1,C$6)</f>
        <v>0</v>
      </c>
      <c r="D12" s="21" t="n">
        <f aca="false">INDEX(Revenue!$D$44:$H$44,1,D$5)*INDEX(Assumptions!$B$44:$M$44,1,D$6)</f>
        <v>0</v>
      </c>
      <c r="E12" s="21" t="n">
        <f aca="false">INDEX(Revenue!$D$44:$H$44,1,E$5)*INDEX(Assumptions!$B$44:$M$44,1,E$6)</f>
        <v>0</v>
      </c>
      <c r="F12" s="21" t="n">
        <f aca="false">INDEX(Revenue!$D$44:$H$44,1,F$5)*INDEX(Assumptions!$B$44:$M$44,1,F$6)</f>
        <v>0</v>
      </c>
      <c r="G12" s="21" t="n">
        <f aca="false">INDEX(Revenue!$D$44:$H$44,1,G$5)*INDEX(Assumptions!$B$44:$M$44,1,G$6)</f>
        <v>0</v>
      </c>
      <c r="H12" s="21" t="n">
        <f aca="false">INDEX(Revenue!$D$44:$H$44,1,H$5)*INDEX(Assumptions!$B$44:$M$44,1,H$6)</f>
        <v>0</v>
      </c>
      <c r="I12" s="21" t="n">
        <f aca="false">INDEX(Revenue!$D$44:$H$44,1,I$5)*INDEX(Assumptions!$B$44:$M$44,1,I$6)</f>
        <v>0</v>
      </c>
      <c r="J12" s="21" t="n">
        <f aca="false">INDEX(Revenue!$D$44:$H$44,1,J$5)*INDEX(Assumptions!$B$44:$M$44,1,J$6)</f>
        <v>0</v>
      </c>
      <c r="K12" s="21" t="n">
        <f aca="false">INDEX(Revenue!$D$44:$H$44,1,K$5)*INDEX(Assumptions!$B$44:$M$44,1,K$6)</f>
        <v>0</v>
      </c>
      <c r="L12" s="21" t="n">
        <f aca="false">INDEX(Revenue!$D$44:$H$44,1,L$5)*INDEX(Assumptions!$B$44:$M$44,1,L$6)</f>
        <v>0</v>
      </c>
      <c r="M12" s="21" t="n">
        <f aca="false">INDEX(Revenue!$D$44:$H$44,1,M$5)*INDEX(Assumptions!$B$44:$M$44,1,M$6)</f>
        <v>0</v>
      </c>
      <c r="N12" s="21" t="n">
        <f aca="false">INDEX(Revenue!$D$44:$H$44,1,N$5)*INDEX(Assumptions!$B$44:$M$44,1,N$6)</f>
        <v>0</v>
      </c>
      <c r="O12" s="21" t="n">
        <f aca="false">INDEX(Revenue!$D$44:$H$44,1,O$5)*INDEX(Assumptions!$B$44:$M$44,1,O$6)</f>
        <v>0</v>
      </c>
      <c r="P12" s="21" t="n">
        <f aca="false">INDEX(Revenue!$D$44:$H$44,1,P$5)*INDEX(Assumptions!$B$44:$M$44,1,P$6)</f>
        <v>900000</v>
      </c>
      <c r="Q12" s="21" t="n">
        <f aca="false">INDEX(Revenue!$D$44:$H$44,1,Q$5)*INDEX(Assumptions!$B$44:$M$44,1,Q$6)</f>
        <v>2160000</v>
      </c>
      <c r="R12" s="21" t="n">
        <f aca="false">INDEX(Revenue!$D$44:$H$44,1,R$5)*INDEX(Assumptions!$B$44:$M$44,1,R$6)</f>
        <v>2160000</v>
      </c>
      <c r="S12" s="21" t="n">
        <f aca="false">INDEX(Revenue!$D$44:$H$44,1,S$5)*INDEX(Assumptions!$B$44:$M$44,1,S$6)</f>
        <v>1440000</v>
      </c>
      <c r="T12" s="21" t="n">
        <f aca="false">INDEX(Revenue!$D$44:$H$44,1,T$5)*INDEX(Assumptions!$B$44:$M$44,1,T$6)</f>
        <v>900000</v>
      </c>
      <c r="U12" s="21" t="n">
        <f aca="false">INDEX(Revenue!$D$44:$H$44,1,U$5)*INDEX(Assumptions!$B$44:$M$44,1,U$6)</f>
        <v>1440000</v>
      </c>
      <c r="V12" s="21" t="n">
        <f aca="false">INDEX(Revenue!$D$44:$H$44,1,V$5)*INDEX(Assumptions!$B$44:$M$44,1,V$6)</f>
        <v>2160000</v>
      </c>
      <c r="W12" s="21" t="n">
        <f aca="false">INDEX(Revenue!$D$44:$H$44,1,W$5)*INDEX(Assumptions!$B$44:$M$44,1,W$6)</f>
        <v>2520000</v>
      </c>
      <c r="X12" s="21" t="n">
        <f aca="false">INDEX(Revenue!$D$44:$H$44,1,X$5)*INDEX(Assumptions!$B$44:$M$44,1,X$6)</f>
        <v>2520000</v>
      </c>
      <c r="Y12" s="21" t="n">
        <f aca="false">INDEX(Revenue!$D$44:$H$44,1,Y$5)*INDEX(Assumptions!$B$44:$M$44,1,Y$6)</f>
        <v>1800000</v>
      </c>
      <c r="Z12" s="21" t="n">
        <f aca="false">INDEX(Revenue!$D$44:$H$44,1,Z$5)*INDEX(Assumptions!$B$44:$M$44,1,Z$6)</f>
        <v>0</v>
      </c>
      <c r="AA12" s="21" t="n">
        <f aca="false">INDEX(Revenue!$D$44:$H$44,1,AA$5)*INDEX(Assumptions!$B$44:$M$44,1,AA$6)</f>
        <v>0</v>
      </c>
      <c r="AB12" s="21" t="n">
        <f aca="false">INDEX(Revenue!$D$44:$H$44,1,AB$5)*INDEX(Assumptions!$B$44:$M$44,1,AB$6)</f>
        <v>2392500</v>
      </c>
      <c r="AC12" s="21" t="n">
        <f aca="false">INDEX(Revenue!$D$44:$H$44,1,AC$5)*INDEX(Assumptions!$B$44:$M$44,1,AC$6)</f>
        <v>5742000</v>
      </c>
      <c r="AD12" s="21" t="n">
        <f aca="false">INDEX(Revenue!$D$44:$H$44,1,AD$5)*INDEX(Assumptions!$B$44:$M$44,1,AD$6)</f>
        <v>5742000</v>
      </c>
      <c r="AE12" s="21" t="n">
        <f aca="false">INDEX(Revenue!$D$44:$H$44,1,AE$5)*INDEX(Assumptions!$B$44:$M$44,1,AE$6)</f>
        <v>3828000</v>
      </c>
      <c r="AF12" s="21" t="n">
        <f aca="false">INDEX(Revenue!$D$44:$H$44,1,AF$5)*INDEX(Assumptions!$B$44:$M$44,1,AF$6)</f>
        <v>2392500</v>
      </c>
      <c r="AG12" s="21" t="n">
        <f aca="false">INDEX(Revenue!$D$44:$H$44,1,AG$5)*INDEX(Assumptions!$B$44:$M$44,1,AG$6)</f>
        <v>3828000</v>
      </c>
      <c r="AH12" s="21" t="n">
        <f aca="false">INDEX(Revenue!$D$44:$H$44,1,AH$5)*INDEX(Assumptions!$B$44:$M$44,1,AH$6)</f>
        <v>5742000</v>
      </c>
      <c r="AI12" s="21" t="n">
        <f aca="false">INDEX(Revenue!$D$44:$H$44,1,AI$5)*INDEX(Assumptions!$B$44:$M$44,1,AI$6)</f>
        <v>6699000</v>
      </c>
      <c r="AJ12" s="21" t="n">
        <f aca="false">INDEX(Revenue!$D$44:$H$44,1,AJ$5)*INDEX(Assumptions!$B$44:$M$44,1,AJ$6)</f>
        <v>6699000</v>
      </c>
      <c r="AK12" s="21" t="n">
        <f aca="false">INDEX(Revenue!$D$44:$H$44,1,AK$5)*INDEX(Assumptions!$B$44:$M$44,1,AK$6)</f>
        <v>4785000</v>
      </c>
      <c r="AL12" s="21" t="n">
        <f aca="false">INDEX(Revenue!$D$44:$H$44,1,AL$5)*INDEX(Assumptions!$B$44:$M$44,1,AL$6)</f>
        <v>0</v>
      </c>
      <c r="AM12" s="21" t="n">
        <f aca="false">INDEX(Revenue!$D$44:$H$44,1,AM$5)*INDEX(Assumptions!$B$44:$M$44,1,AM$6)</f>
        <v>0</v>
      </c>
      <c r="AN12" s="21" t="n">
        <f aca="false">INDEX(Revenue!$D$44:$H$44,1,AN$5)*INDEX(Assumptions!$B$44:$M$44,1,AN$6)</f>
        <v>4567500</v>
      </c>
      <c r="AO12" s="21" t="n">
        <f aca="false">INDEX(Revenue!$D$44:$H$44,1,AO$5)*INDEX(Assumptions!$B$44:$M$44,1,AO$6)</f>
        <v>10962000</v>
      </c>
      <c r="AP12" s="21" t="n">
        <f aca="false">INDEX(Revenue!$D$44:$H$44,1,AP$5)*INDEX(Assumptions!$B$44:$M$44,1,AP$6)</f>
        <v>10962000</v>
      </c>
      <c r="AQ12" s="21" t="n">
        <f aca="false">INDEX(Revenue!$D$44:$H$44,1,AQ$5)*INDEX(Assumptions!$B$44:$M$44,1,AQ$6)</f>
        <v>7308000</v>
      </c>
      <c r="AR12" s="21" t="n">
        <f aca="false">INDEX(Revenue!$D$44:$H$44,1,AR$5)*INDEX(Assumptions!$B$44:$M$44,1,AR$6)</f>
        <v>4567500</v>
      </c>
      <c r="AS12" s="21" t="n">
        <f aca="false">INDEX(Revenue!$D$44:$H$44,1,AS$5)*INDEX(Assumptions!$B$44:$M$44,1,AS$6)</f>
        <v>7308000</v>
      </c>
      <c r="AT12" s="21" t="n">
        <f aca="false">INDEX(Revenue!$D$44:$H$44,1,AT$5)*INDEX(Assumptions!$B$44:$M$44,1,AT$6)</f>
        <v>10962000</v>
      </c>
      <c r="AU12" s="21" t="n">
        <f aca="false">INDEX(Revenue!$D$44:$H$44,1,AU$5)*INDEX(Assumptions!$B$44:$M$44,1,AU$6)</f>
        <v>12789000</v>
      </c>
      <c r="AV12" s="21" t="n">
        <f aca="false">INDEX(Revenue!$D$44:$H$44,1,AV$5)*INDEX(Assumptions!$B$44:$M$44,1,AV$6)</f>
        <v>12789000</v>
      </c>
      <c r="AW12" s="21" t="n">
        <f aca="false">INDEX(Revenue!$D$44:$H$44,1,AW$5)*INDEX(Assumptions!$B$44:$M$44,1,AW$6)</f>
        <v>9135000</v>
      </c>
      <c r="AX12" s="21" t="n">
        <f aca="false">INDEX(Revenue!$D$44:$H$44,1,AX$5)*INDEX(Assumptions!$B$44:$M$44,1,AX$6)</f>
        <v>0</v>
      </c>
      <c r="AY12" s="21" t="n">
        <f aca="false">INDEX(Revenue!$D$44:$H$44,1,AY$5)*INDEX(Assumptions!$B$44:$M$44,1,AY$6)</f>
        <v>0</v>
      </c>
      <c r="AZ12" s="21" t="n">
        <f aca="false">INDEX(Revenue!$D$44:$H$44,1,AZ$5)*INDEX(Assumptions!$B$44:$M$44,1,AZ$6)</f>
        <v>7350000</v>
      </c>
      <c r="BA12" s="21" t="n">
        <f aca="false">INDEX(Revenue!$D$44:$H$44,1,BA$5)*INDEX(Assumptions!$B$44:$M$44,1,BA$6)</f>
        <v>17640000</v>
      </c>
      <c r="BB12" s="21" t="n">
        <f aca="false">INDEX(Revenue!$D$44:$H$44,1,BB$5)*INDEX(Assumptions!$B$44:$M$44,1,BB$6)</f>
        <v>17640000</v>
      </c>
      <c r="BC12" s="21" t="n">
        <f aca="false">INDEX(Revenue!$D$44:$H$44,1,BC$5)*INDEX(Assumptions!$B$44:$M$44,1,BC$6)</f>
        <v>11760000</v>
      </c>
      <c r="BD12" s="21" t="n">
        <f aca="false">INDEX(Revenue!$D$44:$H$44,1,BD$5)*INDEX(Assumptions!$B$44:$M$44,1,BD$6)</f>
        <v>7350000</v>
      </c>
      <c r="BE12" s="21" t="n">
        <f aca="false">INDEX(Revenue!$D$44:$H$44,1,BE$5)*INDEX(Assumptions!$B$44:$M$44,1,BE$6)</f>
        <v>11760000</v>
      </c>
      <c r="BF12" s="21" t="n">
        <f aca="false">INDEX(Revenue!$D$44:$H$44,1,BF$5)*INDEX(Assumptions!$B$44:$M$44,1,BF$6)</f>
        <v>17640000</v>
      </c>
      <c r="BG12" s="21" t="n">
        <f aca="false">INDEX(Revenue!$D$44:$H$44,1,BG$5)*INDEX(Assumptions!$B$44:$M$44,1,BG$6)</f>
        <v>20580000</v>
      </c>
      <c r="BH12" s="21" t="n">
        <f aca="false">INDEX(Revenue!$D$44:$H$44,1,BH$5)*INDEX(Assumptions!$B$44:$M$44,1,BH$6)</f>
        <v>20580000</v>
      </c>
      <c r="BI12" s="21" t="n">
        <f aca="false">INDEX(Revenue!$D$44:$H$44,1,BI$5)*INDEX(Assumptions!$B$44:$M$44,1,BI$6)</f>
        <v>14700000</v>
      </c>
    </row>
    <row r="13" customFormat="false" ht="15" hidden="false" customHeight="true" outlineLevel="0" collapsed="false">
      <c r="A13" s="5" t="s">
        <v>96</v>
      </c>
      <c r="B13" s="21" t="n">
        <f aca="false">INDEX(Revenue!$D$45:$H$45,1,B$5)*INDEX(Assumptions!$B$45:$M$45,1,B$6)</f>
        <v>760000</v>
      </c>
      <c r="C13" s="21" t="n">
        <f aca="false">INDEX(Revenue!$D$45:$H$45,1,C$5)*INDEX(Assumptions!$B$45:$M$45,1,C$6)</f>
        <v>1140000</v>
      </c>
      <c r="D13" s="21" t="n">
        <f aca="false">INDEX(Revenue!$D$45:$H$45,1,D$5)*INDEX(Assumptions!$B$45:$M$45,1,D$6)</f>
        <v>1520000</v>
      </c>
      <c r="E13" s="21" t="n">
        <f aca="false">INDEX(Revenue!$D$45:$H$45,1,E$5)*INDEX(Assumptions!$B$45:$M$45,1,E$6)</f>
        <v>1520000</v>
      </c>
      <c r="F13" s="21" t="n">
        <f aca="false">INDEX(Revenue!$D$45:$H$45,1,F$5)*INDEX(Assumptions!$B$45:$M$45,1,F$6)</f>
        <v>1900000</v>
      </c>
      <c r="G13" s="21" t="n">
        <f aca="false">INDEX(Revenue!$D$45:$H$45,1,G$5)*INDEX(Assumptions!$B$45:$M$45,1,G$6)</f>
        <v>1900000</v>
      </c>
      <c r="H13" s="21" t="n">
        <f aca="false">INDEX(Revenue!$D$45:$H$45,1,H$5)*INDEX(Assumptions!$B$45:$M$45,1,H$6)</f>
        <v>1520000</v>
      </c>
      <c r="I13" s="21" t="n">
        <f aca="false">INDEX(Revenue!$D$45:$H$45,1,I$5)*INDEX(Assumptions!$B$45:$M$45,1,I$6)</f>
        <v>1520000</v>
      </c>
      <c r="J13" s="21" t="n">
        <f aca="false">INDEX(Revenue!$D$45:$H$45,1,J$5)*INDEX(Assumptions!$B$45:$M$45,1,J$6)</f>
        <v>1900000</v>
      </c>
      <c r="K13" s="21" t="n">
        <f aca="false">INDEX(Revenue!$D$45:$H$45,1,K$5)*INDEX(Assumptions!$B$45:$M$45,1,K$6)</f>
        <v>1900000</v>
      </c>
      <c r="L13" s="21" t="n">
        <f aca="false">INDEX(Revenue!$D$45:$H$45,1,L$5)*INDEX(Assumptions!$B$45:$M$45,1,L$6)</f>
        <v>1900000</v>
      </c>
      <c r="M13" s="21" t="n">
        <f aca="false">INDEX(Revenue!$D$45:$H$45,1,M$5)*INDEX(Assumptions!$B$45:$M$45,1,M$6)</f>
        <v>1520000</v>
      </c>
      <c r="N13" s="21" t="n">
        <f aca="false">INDEX(Revenue!$D$45:$H$45,1,N$5)*INDEX(Assumptions!$B$45:$M$45,1,N$6)</f>
        <v>1800000</v>
      </c>
      <c r="O13" s="21" t="n">
        <f aca="false">INDEX(Revenue!$D$45:$H$45,1,O$5)*INDEX(Assumptions!$B$45:$M$45,1,O$6)</f>
        <v>2700000</v>
      </c>
      <c r="P13" s="21" t="n">
        <f aca="false">INDEX(Revenue!$D$45:$H$45,1,P$5)*INDEX(Assumptions!$B$45:$M$45,1,P$6)</f>
        <v>3600000</v>
      </c>
      <c r="Q13" s="21" t="n">
        <f aca="false">INDEX(Revenue!$D$45:$H$45,1,Q$5)*INDEX(Assumptions!$B$45:$M$45,1,Q$6)</f>
        <v>3600000</v>
      </c>
      <c r="R13" s="21" t="n">
        <f aca="false">INDEX(Revenue!$D$45:$H$45,1,R$5)*INDEX(Assumptions!$B$45:$M$45,1,R$6)</f>
        <v>4500000</v>
      </c>
      <c r="S13" s="21" t="n">
        <f aca="false">INDEX(Revenue!$D$45:$H$45,1,S$5)*INDEX(Assumptions!$B$45:$M$45,1,S$6)</f>
        <v>4500000</v>
      </c>
      <c r="T13" s="21" t="n">
        <f aca="false">INDEX(Revenue!$D$45:$H$45,1,T$5)*INDEX(Assumptions!$B$45:$M$45,1,T$6)</f>
        <v>3600000</v>
      </c>
      <c r="U13" s="21" t="n">
        <f aca="false">INDEX(Revenue!$D$45:$H$45,1,U$5)*INDEX(Assumptions!$B$45:$M$45,1,U$6)</f>
        <v>3600000</v>
      </c>
      <c r="V13" s="21" t="n">
        <f aca="false">INDEX(Revenue!$D$45:$H$45,1,V$5)*INDEX(Assumptions!$B$45:$M$45,1,V$6)</f>
        <v>4500000</v>
      </c>
      <c r="W13" s="21" t="n">
        <f aca="false">INDEX(Revenue!$D$45:$H$45,1,W$5)*INDEX(Assumptions!$B$45:$M$45,1,W$6)</f>
        <v>4500000</v>
      </c>
      <c r="X13" s="21" t="n">
        <f aca="false">INDEX(Revenue!$D$45:$H$45,1,X$5)*INDEX(Assumptions!$B$45:$M$45,1,X$6)</f>
        <v>4500000</v>
      </c>
      <c r="Y13" s="21" t="n">
        <f aca="false">INDEX(Revenue!$D$45:$H$45,1,Y$5)*INDEX(Assumptions!$B$45:$M$45,1,Y$6)</f>
        <v>3600000</v>
      </c>
      <c r="Z13" s="21" t="n">
        <f aca="false">INDEX(Revenue!$D$45:$H$45,1,Z$5)*INDEX(Assumptions!$B$45:$M$45,1,Z$6)</f>
        <v>4080000</v>
      </c>
      <c r="AA13" s="21" t="n">
        <f aca="false">INDEX(Revenue!$D$45:$H$45,1,AA$5)*INDEX(Assumptions!$B$45:$M$45,1,AA$6)</f>
        <v>6120000</v>
      </c>
      <c r="AB13" s="21" t="n">
        <f aca="false">INDEX(Revenue!$D$45:$H$45,1,AB$5)*INDEX(Assumptions!$B$45:$M$45,1,AB$6)</f>
        <v>8160000</v>
      </c>
      <c r="AC13" s="21" t="n">
        <f aca="false">INDEX(Revenue!$D$45:$H$45,1,AC$5)*INDEX(Assumptions!$B$45:$M$45,1,AC$6)</f>
        <v>8160000</v>
      </c>
      <c r="AD13" s="21" t="n">
        <f aca="false">INDEX(Revenue!$D$45:$H$45,1,AD$5)*INDEX(Assumptions!$B$45:$M$45,1,AD$6)</f>
        <v>10200000</v>
      </c>
      <c r="AE13" s="21" t="n">
        <f aca="false">INDEX(Revenue!$D$45:$H$45,1,AE$5)*INDEX(Assumptions!$B$45:$M$45,1,AE$6)</f>
        <v>10200000</v>
      </c>
      <c r="AF13" s="21" t="n">
        <f aca="false">INDEX(Revenue!$D$45:$H$45,1,AF$5)*INDEX(Assumptions!$B$45:$M$45,1,AF$6)</f>
        <v>8160000</v>
      </c>
      <c r="AG13" s="21" t="n">
        <f aca="false">INDEX(Revenue!$D$45:$H$45,1,AG$5)*INDEX(Assumptions!$B$45:$M$45,1,AG$6)</f>
        <v>8160000</v>
      </c>
      <c r="AH13" s="21" t="n">
        <f aca="false">INDEX(Revenue!$D$45:$H$45,1,AH$5)*INDEX(Assumptions!$B$45:$M$45,1,AH$6)</f>
        <v>10200000</v>
      </c>
      <c r="AI13" s="21" t="n">
        <f aca="false">INDEX(Revenue!$D$45:$H$45,1,AI$5)*INDEX(Assumptions!$B$45:$M$45,1,AI$6)</f>
        <v>10200000</v>
      </c>
      <c r="AJ13" s="21" t="n">
        <f aca="false">INDEX(Revenue!$D$45:$H$45,1,AJ$5)*INDEX(Assumptions!$B$45:$M$45,1,AJ$6)</f>
        <v>10200000</v>
      </c>
      <c r="AK13" s="21" t="n">
        <f aca="false">INDEX(Revenue!$D$45:$H$45,1,AK$5)*INDEX(Assumptions!$B$45:$M$45,1,AK$6)</f>
        <v>8160000</v>
      </c>
      <c r="AL13" s="21" t="n">
        <f aca="false">INDEX(Revenue!$D$45:$H$45,1,AL$5)*INDEX(Assumptions!$B$45:$M$45,1,AL$6)</f>
        <v>6760000</v>
      </c>
      <c r="AM13" s="21" t="n">
        <f aca="false">INDEX(Revenue!$D$45:$H$45,1,AM$5)*INDEX(Assumptions!$B$45:$M$45,1,AM$6)</f>
        <v>10140000</v>
      </c>
      <c r="AN13" s="21" t="n">
        <f aca="false">INDEX(Revenue!$D$45:$H$45,1,AN$5)*INDEX(Assumptions!$B$45:$M$45,1,AN$6)</f>
        <v>13520000</v>
      </c>
      <c r="AO13" s="21" t="n">
        <f aca="false">INDEX(Revenue!$D$45:$H$45,1,AO$5)*INDEX(Assumptions!$B$45:$M$45,1,AO$6)</f>
        <v>13520000</v>
      </c>
      <c r="AP13" s="21" t="n">
        <f aca="false">INDEX(Revenue!$D$45:$H$45,1,AP$5)*INDEX(Assumptions!$B$45:$M$45,1,AP$6)</f>
        <v>16900000</v>
      </c>
      <c r="AQ13" s="21" t="n">
        <f aca="false">INDEX(Revenue!$D$45:$H$45,1,AQ$5)*INDEX(Assumptions!$B$45:$M$45,1,AQ$6)</f>
        <v>16900000</v>
      </c>
      <c r="AR13" s="21" t="n">
        <f aca="false">INDEX(Revenue!$D$45:$H$45,1,AR$5)*INDEX(Assumptions!$B$45:$M$45,1,AR$6)</f>
        <v>13520000</v>
      </c>
      <c r="AS13" s="21" t="n">
        <f aca="false">INDEX(Revenue!$D$45:$H$45,1,AS$5)*INDEX(Assumptions!$B$45:$M$45,1,AS$6)</f>
        <v>13520000</v>
      </c>
      <c r="AT13" s="21" t="n">
        <f aca="false">INDEX(Revenue!$D$45:$H$45,1,AT$5)*INDEX(Assumptions!$B$45:$M$45,1,AT$6)</f>
        <v>16900000</v>
      </c>
      <c r="AU13" s="21" t="n">
        <f aca="false">INDEX(Revenue!$D$45:$H$45,1,AU$5)*INDEX(Assumptions!$B$45:$M$45,1,AU$6)</f>
        <v>16900000</v>
      </c>
      <c r="AV13" s="21" t="n">
        <f aca="false">INDEX(Revenue!$D$45:$H$45,1,AV$5)*INDEX(Assumptions!$B$45:$M$45,1,AV$6)</f>
        <v>16900000</v>
      </c>
      <c r="AW13" s="21" t="n">
        <f aca="false">INDEX(Revenue!$D$45:$H$45,1,AW$5)*INDEX(Assumptions!$B$45:$M$45,1,AW$6)</f>
        <v>13520000</v>
      </c>
      <c r="AX13" s="21" t="n">
        <f aca="false">INDEX(Revenue!$D$45:$H$45,1,AX$5)*INDEX(Assumptions!$B$45:$M$45,1,AX$6)</f>
        <v>9960000</v>
      </c>
      <c r="AY13" s="21" t="n">
        <f aca="false">INDEX(Revenue!$D$45:$H$45,1,AY$5)*INDEX(Assumptions!$B$45:$M$45,1,AY$6)</f>
        <v>14940000</v>
      </c>
      <c r="AZ13" s="21" t="n">
        <f aca="false">INDEX(Revenue!$D$45:$H$45,1,AZ$5)*INDEX(Assumptions!$B$45:$M$45,1,AZ$6)</f>
        <v>19920000</v>
      </c>
      <c r="BA13" s="21" t="n">
        <f aca="false">INDEX(Revenue!$D$45:$H$45,1,BA$5)*INDEX(Assumptions!$B$45:$M$45,1,BA$6)</f>
        <v>19920000</v>
      </c>
      <c r="BB13" s="21" t="n">
        <f aca="false">INDEX(Revenue!$D$45:$H$45,1,BB$5)*INDEX(Assumptions!$B$45:$M$45,1,BB$6)</f>
        <v>24900000</v>
      </c>
      <c r="BC13" s="21" t="n">
        <f aca="false">INDEX(Revenue!$D$45:$H$45,1,BC$5)*INDEX(Assumptions!$B$45:$M$45,1,BC$6)</f>
        <v>24900000</v>
      </c>
      <c r="BD13" s="21" t="n">
        <f aca="false">INDEX(Revenue!$D$45:$H$45,1,BD$5)*INDEX(Assumptions!$B$45:$M$45,1,BD$6)</f>
        <v>19920000</v>
      </c>
      <c r="BE13" s="21" t="n">
        <f aca="false">INDEX(Revenue!$D$45:$H$45,1,BE$5)*INDEX(Assumptions!$B$45:$M$45,1,BE$6)</f>
        <v>19920000</v>
      </c>
      <c r="BF13" s="21" t="n">
        <f aca="false">INDEX(Revenue!$D$45:$H$45,1,BF$5)*INDEX(Assumptions!$B$45:$M$45,1,BF$6)</f>
        <v>24900000</v>
      </c>
      <c r="BG13" s="21" t="n">
        <f aca="false">INDEX(Revenue!$D$45:$H$45,1,BG$5)*INDEX(Assumptions!$B$45:$M$45,1,BG$6)</f>
        <v>24900000</v>
      </c>
      <c r="BH13" s="21" t="n">
        <f aca="false">INDEX(Revenue!$D$45:$H$45,1,BH$5)*INDEX(Assumptions!$B$45:$M$45,1,BH$6)</f>
        <v>24900000</v>
      </c>
      <c r="BI13" s="21" t="n">
        <f aca="false">INDEX(Revenue!$D$45:$H$45,1,BI$5)*INDEX(Assumptions!$B$45:$M$45,1,BI$6)</f>
        <v>19920000</v>
      </c>
    </row>
    <row r="14" customFormat="false" ht="15" hidden="false" customHeight="true" outlineLevel="0" collapsed="false">
      <c r="A14" s="5" t="s">
        <v>97</v>
      </c>
      <c r="B14" s="21" t="n">
        <f aca="false">INDEX(Revenue!$D$46:$H$46,1,B$5)*INDEX(Assumptions!$B$46:$M$46,1,B$6)</f>
        <v>0</v>
      </c>
      <c r="C14" s="21" t="n">
        <f aca="false">INDEX(Revenue!$D$46:$H$46,1,C$5)*INDEX(Assumptions!$B$46:$M$46,1,C$6)</f>
        <v>0</v>
      </c>
      <c r="D14" s="21" t="n">
        <f aca="false">INDEX(Revenue!$D$46:$H$46,1,D$5)*INDEX(Assumptions!$B$46:$M$46,1,D$6)</f>
        <v>0</v>
      </c>
      <c r="E14" s="21" t="n">
        <f aca="false">INDEX(Revenue!$D$46:$H$46,1,E$5)*INDEX(Assumptions!$B$46:$M$46,1,E$6)</f>
        <v>0</v>
      </c>
      <c r="F14" s="21" t="n">
        <f aca="false">INDEX(Revenue!$D$46:$H$46,1,F$5)*INDEX(Assumptions!$B$46:$M$46,1,F$6)</f>
        <v>0</v>
      </c>
      <c r="G14" s="21" t="n">
        <f aca="false">INDEX(Revenue!$D$46:$H$46,1,G$5)*INDEX(Assumptions!$B$46:$M$46,1,G$6)</f>
        <v>0</v>
      </c>
      <c r="H14" s="21" t="n">
        <f aca="false">INDEX(Revenue!$D$46:$H$46,1,H$5)*INDEX(Assumptions!$B$46:$M$46,1,H$6)</f>
        <v>0</v>
      </c>
      <c r="I14" s="21" t="n">
        <f aca="false">INDEX(Revenue!$D$46:$H$46,1,I$5)*INDEX(Assumptions!$B$46:$M$46,1,I$6)</f>
        <v>0</v>
      </c>
      <c r="J14" s="21" t="n">
        <f aca="false">INDEX(Revenue!$D$46:$H$46,1,J$5)*INDEX(Assumptions!$B$46:$M$46,1,J$6)</f>
        <v>0</v>
      </c>
      <c r="K14" s="21" t="n">
        <f aca="false">INDEX(Revenue!$D$46:$H$46,1,K$5)*INDEX(Assumptions!$B$46:$M$46,1,K$6)</f>
        <v>0</v>
      </c>
      <c r="L14" s="21" t="n">
        <f aca="false">INDEX(Revenue!$D$46:$H$46,1,L$5)*INDEX(Assumptions!$B$46:$M$46,1,L$6)</f>
        <v>0</v>
      </c>
      <c r="M14" s="21" t="n">
        <f aca="false">INDEX(Revenue!$D$46:$H$46,1,M$5)*INDEX(Assumptions!$B$46:$M$46,1,M$6)</f>
        <v>0</v>
      </c>
      <c r="N14" s="21" t="n">
        <f aca="false">INDEX(Revenue!$D$46:$H$46,1,N$5)*INDEX(Assumptions!$B$46:$M$46,1,N$6)</f>
        <v>3360000</v>
      </c>
      <c r="O14" s="21" t="n">
        <f aca="false">INDEX(Revenue!$D$46:$H$46,1,O$5)*INDEX(Assumptions!$B$46:$M$46,1,O$6)</f>
        <v>2240000</v>
      </c>
      <c r="P14" s="21" t="n">
        <f aca="false">INDEX(Revenue!$D$46:$H$46,1,P$5)*INDEX(Assumptions!$B$46:$M$46,1,P$6)</f>
        <v>2240000</v>
      </c>
      <c r="Q14" s="21" t="n">
        <f aca="false">INDEX(Revenue!$D$46:$H$46,1,Q$5)*INDEX(Assumptions!$B$46:$M$46,1,Q$6)</f>
        <v>2240000</v>
      </c>
      <c r="R14" s="21" t="n">
        <f aca="false">INDEX(Revenue!$D$46:$H$46,1,R$5)*INDEX(Assumptions!$B$46:$M$46,1,R$6)</f>
        <v>2240000</v>
      </c>
      <c r="S14" s="21" t="n">
        <f aca="false">INDEX(Revenue!$D$46:$H$46,1,S$5)*INDEX(Assumptions!$B$46:$M$46,1,S$6)</f>
        <v>2240000</v>
      </c>
      <c r="T14" s="21" t="n">
        <f aca="false">INDEX(Revenue!$D$46:$H$46,1,T$5)*INDEX(Assumptions!$B$46:$M$46,1,T$6)</f>
        <v>2240000</v>
      </c>
      <c r="U14" s="21" t="n">
        <f aca="false">INDEX(Revenue!$D$46:$H$46,1,U$5)*INDEX(Assumptions!$B$46:$M$46,1,U$6)</f>
        <v>2240000</v>
      </c>
      <c r="V14" s="21" t="n">
        <f aca="false">INDEX(Revenue!$D$46:$H$46,1,V$5)*INDEX(Assumptions!$B$46:$M$46,1,V$6)</f>
        <v>2240000</v>
      </c>
      <c r="W14" s="21" t="n">
        <f aca="false">INDEX(Revenue!$D$46:$H$46,1,W$5)*INDEX(Assumptions!$B$46:$M$46,1,W$6)</f>
        <v>2240000</v>
      </c>
      <c r="X14" s="21" t="n">
        <f aca="false">INDEX(Revenue!$D$46:$H$46,1,X$5)*INDEX(Assumptions!$B$46:$M$46,1,X$6)</f>
        <v>2240000</v>
      </c>
      <c r="Y14" s="21" t="n">
        <f aca="false">INDEX(Revenue!$D$46:$H$46,1,Y$5)*INDEX(Assumptions!$B$46:$M$46,1,Y$6)</f>
        <v>2240000</v>
      </c>
      <c r="Z14" s="21" t="n">
        <f aca="false">INDEX(Revenue!$D$46:$H$46,1,Z$5)*INDEX(Assumptions!$B$46:$M$46,1,Z$6)</f>
        <v>9120000</v>
      </c>
      <c r="AA14" s="21" t="n">
        <f aca="false">INDEX(Revenue!$D$46:$H$46,1,AA$5)*INDEX(Assumptions!$B$46:$M$46,1,AA$6)</f>
        <v>6080000</v>
      </c>
      <c r="AB14" s="21" t="n">
        <f aca="false">INDEX(Revenue!$D$46:$H$46,1,AB$5)*INDEX(Assumptions!$B$46:$M$46,1,AB$6)</f>
        <v>6080000</v>
      </c>
      <c r="AC14" s="21" t="n">
        <f aca="false">INDEX(Revenue!$D$46:$H$46,1,AC$5)*INDEX(Assumptions!$B$46:$M$46,1,AC$6)</f>
        <v>6080000</v>
      </c>
      <c r="AD14" s="21" t="n">
        <f aca="false">INDEX(Revenue!$D$46:$H$46,1,AD$5)*INDEX(Assumptions!$B$46:$M$46,1,AD$6)</f>
        <v>6080000</v>
      </c>
      <c r="AE14" s="21" t="n">
        <f aca="false">INDEX(Revenue!$D$46:$H$46,1,AE$5)*INDEX(Assumptions!$B$46:$M$46,1,AE$6)</f>
        <v>6080000</v>
      </c>
      <c r="AF14" s="21" t="n">
        <f aca="false">INDEX(Revenue!$D$46:$H$46,1,AF$5)*INDEX(Assumptions!$B$46:$M$46,1,AF$6)</f>
        <v>6080000</v>
      </c>
      <c r="AG14" s="21" t="n">
        <f aca="false">INDEX(Revenue!$D$46:$H$46,1,AG$5)*INDEX(Assumptions!$B$46:$M$46,1,AG$6)</f>
        <v>6080000</v>
      </c>
      <c r="AH14" s="21" t="n">
        <f aca="false">INDEX(Revenue!$D$46:$H$46,1,AH$5)*INDEX(Assumptions!$B$46:$M$46,1,AH$6)</f>
        <v>6080000</v>
      </c>
      <c r="AI14" s="21" t="n">
        <f aca="false">INDEX(Revenue!$D$46:$H$46,1,AI$5)*INDEX(Assumptions!$B$46:$M$46,1,AI$6)</f>
        <v>6080000</v>
      </c>
      <c r="AJ14" s="21" t="n">
        <f aca="false">INDEX(Revenue!$D$46:$H$46,1,AJ$5)*INDEX(Assumptions!$B$46:$M$46,1,AJ$6)</f>
        <v>6080000</v>
      </c>
      <c r="AK14" s="21" t="n">
        <f aca="false">INDEX(Revenue!$D$46:$H$46,1,AK$5)*INDEX(Assumptions!$B$46:$M$46,1,AK$6)</f>
        <v>6080000</v>
      </c>
      <c r="AL14" s="21" t="n">
        <f aca="false">INDEX(Revenue!$D$46:$H$46,1,AL$5)*INDEX(Assumptions!$B$46:$M$46,1,AL$6)</f>
        <v>16740000</v>
      </c>
      <c r="AM14" s="21" t="n">
        <f aca="false">INDEX(Revenue!$D$46:$H$46,1,AM$5)*INDEX(Assumptions!$B$46:$M$46,1,AM$6)</f>
        <v>11160000</v>
      </c>
      <c r="AN14" s="21" t="n">
        <f aca="false">INDEX(Revenue!$D$46:$H$46,1,AN$5)*INDEX(Assumptions!$B$46:$M$46,1,AN$6)</f>
        <v>11160000</v>
      </c>
      <c r="AO14" s="21" t="n">
        <f aca="false">INDEX(Revenue!$D$46:$H$46,1,AO$5)*INDEX(Assumptions!$B$46:$M$46,1,AO$6)</f>
        <v>11160000</v>
      </c>
      <c r="AP14" s="21" t="n">
        <f aca="false">INDEX(Revenue!$D$46:$H$46,1,AP$5)*INDEX(Assumptions!$B$46:$M$46,1,AP$6)</f>
        <v>11160000</v>
      </c>
      <c r="AQ14" s="21" t="n">
        <f aca="false">INDEX(Revenue!$D$46:$H$46,1,AQ$5)*INDEX(Assumptions!$B$46:$M$46,1,AQ$6)</f>
        <v>11160000</v>
      </c>
      <c r="AR14" s="21" t="n">
        <f aca="false">INDEX(Revenue!$D$46:$H$46,1,AR$5)*INDEX(Assumptions!$B$46:$M$46,1,AR$6)</f>
        <v>11160000</v>
      </c>
      <c r="AS14" s="21" t="n">
        <f aca="false">INDEX(Revenue!$D$46:$H$46,1,AS$5)*INDEX(Assumptions!$B$46:$M$46,1,AS$6)</f>
        <v>11160000</v>
      </c>
      <c r="AT14" s="21" t="n">
        <f aca="false">INDEX(Revenue!$D$46:$H$46,1,AT$5)*INDEX(Assumptions!$B$46:$M$46,1,AT$6)</f>
        <v>11160000</v>
      </c>
      <c r="AU14" s="21" t="n">
        <f aca="false">INDEX(Revenue!$D$46:$H$46,1,AU$5)*INDEX(Assumptions!$B$46:$M$46,1,AU$6)</f>
        <v>11160000</v>
      </c>
      <c r="AV14" s="21" t="n">
        <f aca="false">INDEX(Revenue!$D$46:$H$46,1,AV$5)*INDEX(Assumptions!$B$46:$M$46,1,AV$6)</f>
        <v>11160000</v>
      </c>
      <c r="AW14" s="21" t="n">
        <f aca="false">INDEX(Revenue!$D$46:$H$46,1,AW$5)*INDEX(Assumptions!$B$46:$M$46,1,AW$6)</f>
        <v>11160000</v>
      </c>
      <c r="AX14" s="21" t="n">
        <f aca="false">INDEX(Revenue!$D$46:$H$46,1,AX$5)*INDEX(Assumptions!$B$46:$M$46,1,AX$6)</f>
        <v>27300000</v>
      </c>
      <c r="AY14" s="21" t="n">
        <f aca="false">INDEX(Revenue!$D$46:$H$46,1,AY$5)*INDEX(Assumptions!$B$46:$M$46,1,AY$6)</f>
        <v>18200000</v>
      </c>
      <c r="AZ14" s="21" t="n">
        <f aca="false">INDEX(Revenue!$D$46:$H$46,1,AZ$5)*INDEX(Assumptions!$B$46:$M$46,1,AZ$6)</f>
        <v>18200000</v>
      </c>
      <c r="BA14" s="21" t="n">
        <f aca="false">INDEX(Revenue!$D$46:$H$46,1,BA$5)*INDEX(Assumptions!$B$46:$M$46,1,BA$6)</f>
        <v>18200000</v>
      </c>
      <c r="BB14" s="21" t="n">
        <f aca="false">INDEX(Revenue!$D$46:$H$46,1,BB$5)*INDEX(Assumptions!$B$46:$M$46,1,BB$6)</f>
        <v>18200000</v>
      </c>
      <c r="BC14" s="21" t="n">
        <f aca="false">INDEX(Revenue!$D$46:$H$46,1,BC$5)*INDEX(Assumptions!$B$46:$M$46,1,BC$6)</f>
        <v>18200000</v>
      </c>
      <c r="BD14" s="21" t="n">
        <f aca="false">INDEX(Revenue!$D$46:$H$46,1,BD$5)*INDEX(Assumptions!$B$46:$M$46,1,BD$6)</f>
        <v>18200000</v>
      </c>
      <c r="BE14" s="21" t="n">
        <f aca="false">INDEX(Revenue!$D$46:$H$46,1,BE$5)*INDEX(Assumptions!$B$46:$M$46,1,BE$6)</f>
        <v>18200000</v>
      </c>
      <c r="BF14" s="21" t="n">
        <f aca="false">INDEX(Revenue!$D$46:$H$46,1,BF$5)*INDEX(Assumptions!$B$46:$M$46,1,BF$6)</f>
        <v>18200000</v>
      </c>
      <c r="BG14" s="21" t="n">
        <f aca="false">INDEX(Revenue!$D$46:$H$46,1,BG$5)*INDEX(Assumptions!$B$46:$M$46,1,BG$6)</f>
        <v>18200000</v>
      </c>
      <c r="BH14" s="21" t="n">
        <f aca="false">INDEX(Revenue!$D$46:$H$46,1,BH$5)*INDEX(Assumptions!$B$46:$M$46,1,BH$6)</f>
        <v>18200000</v>
      </c>
      <c r="BI14" s="21" t="n">
        <f aca="false">INDEX(Revenue!$D$46:$H$46,1,BI$5)*INDEX(Assumptions!$B$46:$M$46,1,BI$6)</f>
        <v>18200000</v>
      </c>
    </row>
    <row r="15" customFormat="false" ht="15" hidden="false" customHeight="true" outlineLevel="0" collapsed="false">
      <c r="A15" s="5" t="s">
        <v>98</v>
      </c>
      <c r="B15" s="21" t="n">
        <f aca="false">INDEX(Revenue!$D$47:$H$47,1,B$5)*INDEX(Assumptions!$B$47:$M$47,1,B$6)</f>
        <v>0</v>
      </c>
      <c r="C15" s="21" t="n">
        <f aca="false">INDEX(Revenue!$D$47:$H$47,1,C$5)*INDEX(Assumptions!$B$47:$M$47,1,C$6)</f>
        <v>800000</v>
      </c>
      <c r="D15" s="21" t="n">
        <f aca="false">INDEX(Revenue!$D$47:$H$47,1,D$5)*INDEX(Assumptions!$B$47:$M$47,1,D$6)</f>
        <v>1600000</v>
      </c>
      <c r="E15" s="21" t="n">
        <f aca="false">INDEX(Revenue!$D$47:$H$47,1,E$5)*INDEX(Assumptions!$B$47:$M$47,1,E$6)</f>
        <v>2400000</v>
      </c>
      <c r="F15" s="21" t="n">
        <f aca="false">INDEX(Revenue!$D$47:$H$47,1,F$5)*INDEX(Assumptions!$B$47:$M$47,1,F$6)</f>
        <v>3200000</v>
      </c>
      <c r="G15" s="21" t="n">
        <f aca="false">INDEX(Revenue!$D$47:$H$47,1,G$5)*INDEX(Assumptions!$B$47:$M$47,1,G$6)</f>
        <v>5600000</v>
      </c>
      <c r="H15" s="21" t="n">
        <f aca="false">INDEX(Revenue!$D$47:$H$47,1,H$5)*INDEX(Assumptions!$B$47:$M$47,1,H$6)</f>
        <v>8000000</v>
      </c>
      <c r="I15" s="21" t="n">
        <f aca="false">INDEX(Revenue!$D$47:$H$47,1,I$5)*INDEX(Assumptions!$B$47:$M$47,1,I$6)</f>
        <v>4800000</v>
      </c>
      <c r="J15" s="21" t="n">
        <f aca="false">INDEX(Revenue!$D$47:$H$47,1,J$5)*INDEX(Assumptions!$B$47:$M$47,1,J$6)</f>
        <v>11200000</v>
      </c>
      <c r="K15" s="21" t="n">
        <f aca="false">INDEX(Revenue!$D$47:$H$47,1,K$5)*INDEX(Assumptions!$B$47:$M$47,1,K$6)</f>
        <v>1600000</v>
      </c>
      <c r="L15" s="21" t="n">
        <f aca="false">INDEX(Revenue!$D$47:$H$47,1,L$5)*INDEX(Assumptions!$B$47:$M$47,1,L$6)</f>
        <v>800000</v>
      </c>
      <c r="M15" s="21" t="n">
        <f aca="false">INDEX(Revenue!$D$47:$H$47,1,M$5)*INDEX(Assumptions!$B$47:$M$47,1,M$6)</f>
        <v>0</v>
      </c>
      <c r="N15" s="21" t="n">
        <f aca="false">INDEX(Revenue!$D$47:$H$47,1,N$5)*INDEX(Assumptions!$B$47:$M$47,1,N$6)</f>
        <v>0</v>
      </c>
      <c r="O15" s="21" t="n">
        <f aca="false">INDEX(Revenue!$D$47:$H$47,1,O$5)*INDEX(Assumptions!$B$47:$M$47,1,O$6)</f>
        <v>1510000</v>
      </c>
      <c r="P15" s="21" t="n">
        <f aca="false">INDEX(Revenue!$D$47:$H$47,1,P$5)*INDEX(Assumptions!$B$47:$M$47,1,P$6)</f>
        <v>3020000</v>
      </c>
      <c r="Q15" s="21" t="n">
        <f aca="false">INDEX(Revenue!$D$47:$H$47,1,Q$5)*INDEX(Assumptions!$B$47:$M$47,1,Q$6)</f>
        <v>4530000</v>
      </c>
      <c r="R15" s="21" t="n">
        <f aca="false">INDEX(Revenue!$D$47:$H$47,1,R$5)*INDEX(Assumptions!$B$47:$M$47,1,R$6)</f>
        <v>6040000</v>
      </c>
      <c r="S15" s="21" t="n">
        <f aca="false">INDEX(Revenue!$D$47:$H$47,1,S$5)*INDEX(Assumptions!$B$47:$M$47,1,S$6)</f>
        <v>10570000</v>
      </c>
      <c r="T15" s="21" t="n">
        <f aca="false">INDEX(Revenue!$D$47:$H$47,1,T$5)*INDEX(Assumptions!$B$47:$M$47,1,T$6)</f>
        <v>15100000</v>
      </c>
      <c r="U15" s="21" t="n">
        <f aca="false">INDEX(Revenue!$D$47:$H$47,1,U$5)*INDEX(Assumptions!$B$47:$M$47,1,U$6)</f>
        <v>9060000</v>
      </c>
      <c r="V15" s="21" t="n">
        <f aca="false">INDEX(Revenue!$D$47:$H$47,1,V$5)*INDEX(Assumptions!$B$47:$M$47,1,V$6)</f>
        <v>21140000</v>
      </c>
      <c r="W15" s="21" t="n">
        <f aca="false">INDEX(Revenue!$D$47:$H$47,1,W$5)*INDEX(Assumptions!$B$47:$M$47,1,W$6)</f>
        <v>3020000</v>
      </c>
      <c r="X15" s="21" t="n">
        <f aca="false">INDEX(Revenue!$D$47:$H$47,1,X$5)*INDEX(Assumptions!$B$47:$M$47,1,X$6)</f>
        <v>1510000</v>
      </c>
      <c r="Y15" s="21" t="n">
        <f aca="false">INDEX(Revenue!$D$47:$H$47,1,Y$5)*INDEX(Assumptions!$B$47:$M$47,1,Y$6)</f>
        <v>0</v>
      </c>
      <c r="Z15" s="21" t="n">
        <f aca="false">INDEX(Revenue!$D$47:$H$47,1,Z$5)*INDEX(Assumptions!$B$47:$M$47,1,Z$6)</f>
        <v>0</v>
      </c>
      <c r="AA15" s="21" t="n">
        <f aca="false">INDEX(Revenue!$D$47:$H$47,1,AA$5)*INDEX(Assumptions!$B$47:$M$47,1,AA$6)</f>
        <v>2700000</v>
      </c>
      <c r="AB15" s="21" t="n">
        <f aca="false">INDEX(Revenue!$D$47:$H$47,1,AB$5)*INDEX(Assumptions!$B$47:$M$47,1,AB$6)</f>
        <v>5400000</v>
      </c>
      <c r="AC15" s="21" t="n">
        <f aca="false">INDEX(Revenue!$D$47:$H$47,1,AC$5)*INDEX(Assumptions!$B$47:$M$47,1,AC$6)</f>
        <v>8100000</v>
      </c>
      <c r="AD15" s="21" t="n">
        <f aca="false">INDEX(Revenue!$D$47:$H$47,1,AD$5)*INDEX(Assumptions!$B$47:$M$47,1,AD$6)</f>
        <v>10800000</v>
      </c>
      <c r="AE15" s="21" t="n">
        <f aca="false">INDEX(Revenue!$D$47:$H$47,1,AE$5)*INDEX(Assumptions!$B$47:$M$47,1,AE$6)</f>
        <v>18900000</v>
      </c>
      <c r="AF15" s="21" t="n">
        <f aca="false">INDEX(Revenue!$D$47:$H$47,1,AF$5)*INDEX(Assumptions!$B$47:$M$47,1,AF$6)</f>
        <v>27000000</v>
      </c>
      <c r="AG15" s="21" t="n">
        <f aca="false">INDEX(Revenue!$D$47:$H$47,1,AG$5)*INDEX(Assumptions!$B$47:$M$47,1,AG$6)</f>
        <v>16200000</v>
      </c>
      <c r="AH15" s="21" t="n">
        <f aca="false">INDEX(Revenue!$D$47:$H$47,1,AH$5)*INDEX(Assumptions!$B$47:$M$47,1,AH$6)</f>
        <v>37800000</v>
      </c>
      <c r="AI15" s="21" t="n">
        <f aca="false">INDEX(Revenue!$D$47:$H$47,1,AI$5)*INDEX(Assumptions!$B$47:$M$47,1,AI$6)</f>
        <v>5400000</v>
      </c>
      <c r="AJ15" s="21" t="n">
        <f aca="false">INDEX(Revenue!$D$47:$H$47,1,AJ$5)*INDEX(Assumptions!$B$47:$M$47,1,AJ$6)</f>
        <v>2700000</v>
      </c>
      <c r="AK15" s="21" t="n">
        <f aca="false">INDEX(Revenue!$D$47:$H$47,1,AK$5)*INDEX(Assumptions!$B$47:$M$47,1,AK$6)</f>
        <v>0</v>
      </c>
      <c r="AL15" s="21" t="n">
        <f aca="false">INDEX(Revenue!$D$47:$H$47,1,AL$5)*INDEX(Assumptions!$B$47:$M$47,1,AL$6)</f>
        <v>0</v>
      </c>
      <c r="AM15" s="21" t="n">
        <f aca="false">INDEX(Revenue!$D$47:$H$47,1,AM$5)*INDEX(Assumptions!$B$47:$M$47,1,AM$6)</f>
        <v>4456000</v>
      </c>
      <c r="AN15" s="21" t="n">
        <f aca="false">INDEX(Revenue!$D$47:$H$47,1,AN$5)*INDEX(Assumptions!$B$47:$M$47,1,AN$6)</f>
        <v>8912000</v>
      </c>
      <c r="AO15" s="21" t="n">
        <f aca="false">INDEX(Revenue!$D$47:$H$47,1,AO$5)*INDEX(Assumptions!$B$47:$M$47,1,AO$6)</f>
        <v>13368000</v>
      </c>
      <c r="AP15" s="21" t="n">
        <f aca="false">INDEX(Revenue!$D$47:$H$47,1,AP$5)*INDEX(Assumptions!$B$47:$M$47,1,AP$6)</f>
        <v>17824000</v>
      </c>
      <c r="AQ15" s="21" t="n">
        <f aca="false">INDEX(Revenue!$D$47:$H$47,1,AQ$5)*INDEX(Assumptions!$B$47:$M$47,1,AQ$6)</f>
        <v>31192000</v>
      </c>
      <c r="AR15" s="21" t="n">
        <f aca="false">INDEX(Revenue!$D$47:$H$47,1,AR$5)*INDEX(Assumptions!$B$47:$M$47,1,AR$6)</f>
        <v>44560000</v>
      </c>
      <c r="AS15" s="21" t="n">
        <f aca="false">INDEX(Revenue!$D$47:$H$47,1,AS$5)*INDEX(Assumptions!$B$47:$M$47,1,AS$6)</f>
        <v>26736000</v>
      </c>
      <c r="AT15" s="21" t="n">
        <f aca="false">INDEX(Revenue!$D$47:$H$47,1,AT$5)*INDEX(Assumptions!$B$47:$M$47,1,AT$6)</f>
        <v>62384000</v>
      </c>
      <c r="AU15" s="21" t="n">
        <f aca="false">INDEX(Revenue!$D$47:$H$47,1,AU$5)*INDEX(Assumptions!$B$47:$M$47,1,AU$6)</f>
        <v>8912000</v>
      </c>
      <c r="AV15" s="21" t="n">
        <f aca="false">INDEX(Revenue!$D$47:$H$47,1,AV$5)*INDEX(Assumptions!$B$47:$M$47,1,AV$6)</f>
        <v>4456000</v>
      </c>
      <c r="AW15" s="21" t="n">
        <f aca="false">INDEX(Revenue!$D$47:$H$47,1,AW$5)*INDEX(Assumptions!$B$47:$M$47,1,AW$6)</f>
        <v>0</v>
      </c>
      <c r="AX15" s="21" t="n">
        <f aca="false">INDEX(Revenue!$D$47:$H$47,1,AX$5)*INDEX(Assumptions!$B$47:$M$47,1,AX$6)</f>
        <v>0</v>
      </c>
      <c r="AY15" s="21" t="n">
        <f aca="false">INDEX(Revenue!$D$47:$H$47,1,AY$5)*INDEX(Assumptions!$B$47:$M$47,1,AY$6)</f>
        <v>6820000</v>
      </c>
      <c r="AZ15" s="21" t="n">
        <f aca="false">INDEX(Revenue!$D$47:$H$47,1,AZ$5)*INDEX(Assumptions!$B$47:$M$47,1,AZ$6)</f>
        <v>13640000</v>
      </c>
      <c r="BA15" s="21" t="n">
        <f aca="false">INDEX(Revenue!$D$47:$H$47,1,BA$5)*INDEX(Assumptions!$B$47:$M$47,1,BA$6)</f>
        <v>20460000</v>
      </c>
      <c r="BB15" s="21" t="n">
        <f aca="false">INDEX(Revenue!$D$47:$H$47,1,BB$5)*INDEX(Assumptions!$B$47:$M$47,1,BB$6)</f>
        <v>27280000</v>
      </c>
      <c r="BC15" s="21" t="n">
        <f aca="false">INDEX(Revenue!$D$47:$H$47,1,BC$5)*INDEX(Assumptions!$B$47:$M$47,1,BC$6)</f>
        <v>47740000</v>
      </c>
      <c r="BD15" s="21" t="n">
        <f aca="false">INDEX(Revenue!$D$47:$H$47,1,BD$5)*INDEX(Assumptions!$B$47:$M$47,1,BD$6)</f>
        <v>68200000</v>
      </c>
      <c r="BE15" s="21" t="n">
        <f aca="false">INDEX(Revenue!$D$47:$H$47,1,BE$5)*INDEX(Assumptions!$B$47:$M$47,1,BE$6)</f>
        <v>40920000</v>
      </c>
      <c r="BF15" s="21" t="n">
        <f aca="false">INDEX(Revenue!$D$47:$H$47,1,BF$5)*INDEX(Assumptions!$B$47:$M$47,1,BF$6)</f>
        <v>95480000</v>
      </c>
      <c r="BG15" s="21" t="n">
        <f aca="false">INDEX(Revenue!$D$47:$H$47,1,BG$5)*INDEX(Assumptions!$B$47:$M$47,1,BG$6)</f>
        <v>13640000</v>
      </c>
      <c r="BH15" s="21" t="n">
        <f aca="false">INDEX(Revenue!$D$47:$H$47,1,BH$5)*INDEX(Assumptions!$B$47:$M$47,1,BH$6)</f>
        <v>6820000</v>
      </c>
      <c r="BI15" s="21" t="n">
        <f aca="false">INDEX(Revenue!$D$47:$H$47,1,BI$5)*INDEX(Assumptions!$B$47:$M$47,1,BI$6)</f>
        <v>0</v>
      </c>
    </row>
    <row r="16" customFormat="false" ht="15" hidden="false" customHeight="true" outlineLevel="0" collapsed="false">
      <c r="A16" s="5" t="s">
        <v>99</v>
      </c>
      <c r="B16" s="21" t="n">
        <f aca="false">INDEX(Revenue!$D$48:$H$48,1,B$5)*INDEX(Assumptions!$B$48:$M$48,1,B$6)</f>
        <v>600000</v>
      </c>
      <c r="C16" s="21" t="n">
        <f aca="false">INDEX(Revenue!$D$48:$H$48,1,C$5)*INDEX(Assumptions!$B$48:$M$48,1,C$6)</f>
        <v>1200000</v>
      </c>
      <c r="D16" s="21" t="n">
        <f aca="false">INDEX(Revenue!$D$48:$H$48,1,D$5)*INDEX(Assumptions!$B$48:$M$48,1,D$6)</f>
        <v>2400000</v>
      </c>
      <c r="E16" s="21" t="n">
        <f aca="false">INDEX(Revenue!$D$48:$H$48,1,E$5)*INDEX(Assumptions!$B$48:$M$48,1,E$6)</f>
        <v>3000000</v>
      </c>
      <c r="F16" s="21" t="n">
        <f aca="false">INDEX(Revenue!$D$48:$H$48,1,F$5)*INDEX(Assumptions!$B$48:$M$48,1,F$6)</f>
        <v>3000000</v>
      </c>
      <c r="G16" s="21" t="n">
        <f aca="false">INDEX(Revenue!$D$48:$H$48,1,G$5)*INDEX(Assumptions!$B$48:$M$48,1,G$6)</f>
        <v>3000000</v>
      </c>
      <c r="H16" s="21" t="n">
        <f aca="false">INDEX(Revenue!$D$48:$H$48,1,H$5)*INDEX(Assumptions!$B$48:$M$48,1,H$6)</f>
        <v>2400000</v>
      </c>
      <c r="I16" s="21" t="n">
        <f aca="false">INDEX(Revenue!$D$48:$H$48,1,I$5)*INDEX(Assumptions!$B$48:$M$48,1,I$6)</f>
        <v>2400000</v>
      </c>
      <c r="J16" s="21" t="n">
        <f aca="false">INDEX(Revenue!$D$48:$H$48,1,J$5)*INDEX(Assumptions!$B$48:$M$48,1,J$6)</f>
        <v>3600000</v>
      </c>
      <c r="K16" s="21" t="n">
        <f aca="false">INDEX(Revenue!$D$48:$H$48,1,K$5)*INDEX(Assumptions!$B$48:$M$48,1,K$6)</f>
        <v>3600000</v>
      </c>
      <c r="L16" s="21" t="n">
        <f aca="false">INDEX(Revenue!$D$48:$H$48,1,L$5)*INDEX(Assumptions!$B$48:$M$48,1,L$6)</f>
        <v>3000000</v>
      </c>
      <c r="M16" s="21" t="n">
        <f aca="false">INDEX(Revenue!$D$48:$H$48,1,M$5)*INDEX(Assumptions!$B$48:$M$48,1,M$6)</f>
        <v>1800000</v>
      </c>
      <c r="N16" s="21" t="n">
        <f aca="false">INDEX(Revenue!$D$48:$H$48,1,N$5)*INDEX(Assumptions!$B$48:$M$48,1,N$6)</f>
        <v>1120000</v>
      </c>
      <c r="O16" s="21" t="n">
        <f aca="false">INDEX(Revenue!$D$48:$H$48,1,O$5)*INDEX(Assumptions!$B$48:$M$48,1,O$6)</f>
        <v>2240000</v>
      </c>
      <c r="P16" s="21" t="n">
        <f aca="false">INDEX(Revenue!$D$48:$H$48,1,P$5)*INDEX(Assumptions!$B$48:$M$48,1,P$6)</f>
        <v>4480000</v>
      </c>
      <c r="Q16" s="21" t="n">
        <f aca="false">INDEX(Revenue!$D$48:$H$48,1,Q$5)*INDEX(Assumptions!$B$48:$M$48,1,Q$6)</f>
        <v>5600000</v>
      </c>
      <c r="R16" s="21" t="n">
        <f aca="false">INDEX(Revenue!$D$48:$H$48,1,R$5)*INDEX(Assumptions!$B$48:$M$48,1,R$6)</f>
        <v>5600000</v>
      </c>
      <c r="S16" s="21" t="n">
        <f aca="false">INDEX(Revenue!$D$48:$H$48,1,S$5)*INDEX(Assumptions!$B$48:$M$48,1,S$6)</f>
        <v>5600000</v>
      </c>
      <c r="T16" s="21" t="n">
        <f aca="false">INDEX(Revenue!$D$48:$H$48,1,T$5)*INDEX(Assumptions!$B$48:$M$48,1,T$6)</f>
        <v>4480000</v>
      </c>
      <c r="U16" s="21" t="n">
        <f aca="false">INDEX(Revenue!$D$48:$H$48,1,U$5)*INDEX(Assumptions!$B$48:$M$48,1,U$6)</f>
        <v>4480000</v>
      </c>
      <c r="V16" s="21" t="n">
        <f aca="false">INDEX(Revenue!$D$48:$H$48,1,V$5)*INDEX(Assumptions!$B$48:$M$48,1,V$6)</f>
        <v>6720000</v>
      </c>
      <c r="W16" s="21" t="n">
        <f aca="false">INDEX(Revenue!$D$48:$H$48,1,W$5)*INDEX(Assumptions!$B$48:$M$48,1,W$6)</f>
        <v>6720000</v>
      </c>
      <c r="X16" s="21" t="n">
        <f aca="false">INDEX(Revenue!$D$48:$H$48,1,X$5)*INDEX(Assumptions!$B$48:$M$48,1,X$6)</f>
        <v>5600000</v>
      </c>
      <c r="Y16" s="21" t="n">
        <f aca="false">INDEX(Revenue!$D$48:$H$48,1,Y$5)*INDEX(Assumptions!$B$48:$M$48,1,Y$6)</f>
        <v>3360000</v>
      </c>
      <c r="Z16" s="21" t="n">
        <f aca="false">INDEX(Revenue!$D$48:$H$48,1,Z$5)*INDEX(Assumptions!$B$48:$M$48,1,Z$6)</f>
        <v>2240000</v>
      </c>
      <c r="AA16" s="21" t="n">
        <f aca="false">INDEX(Revenue!$D$48:$H$48,1,AA$5)*INDEX(Assumptions!$B$48:$M$48,1,AA$6)</f>
        <v>4480000</v>
      </c>
      <c r="AB16" s="21" t="n">
        <f aca="false">INDEX(Revenue!$D$48:$H$48,1,AB$5)*INDEX(Assumptions!$B$48:$M$48,1,AB$6)</f>
        <v>8960000</v>
      </c>
      <c r="AC16" s="21" t="n">
        <f aca="false">INDEX(Revenue!$D$48:$H$48,1,AC$5)*INDEX(Assumptions!$B$48:$M$48,1,AC$6)</f>
        <v>11200000</v>
      </c>
      <c r="AD16" s="21" t="n">
        <f aca="false">INDEX(Revenue!$D$48:$H$48,1,AD$5)*INDEX(Assumptions!$B$48:$M$48,1,AD$6)</f>
        <v>11200000</v>
      </c>
      <c r="AE16" s="21" t="n">
        <f aca="false">INDEX(Revenue!$D$48:$H$48,1,AE$5)*INDEX(Assumptions!$B$48:$M$48,1,AE$6)</f>
        <v>11200000</v>
      </c>
      <c r="AF16" s="21" t="n">
        <f aca="false">INDEX(Revenue!$D$48:$H$48,1,AF$5)*INDEX(Assumptions!$B$48:$M$48,1,AF$6)</f>
        <v>8960000</v>
      </c>
      <c r="AG16" s="21" t="n">
        <f aca="false">INDEX(Revenue!$D$48:$H$48,1,AG$5)*INDEX(Assumptions!$B$48:$M$48,1,AG$6)</f>
        <v>8960000</v>
      </c>
      <c r="AH16" s="21" t="n">
        <f aca="false">INDEX(Revenue!$D$48:$H$48,1,AH$5)*INDEX(Assumptions!$B$48:$M$48,1,AH$6)</f>
        <v>13440000</v>
      </c>
      <c r="AI16" s="21" t="n">
        <f aca="false">INDEX(Revenue!$D$48:$H$48,1,AI$5)*INDEX(Assumptions!$B$48:$M$48,1,AI$6)</f>
        <v>13440000</v>
      </c>
      <c r="AJ16" s="21" t="n">
        <f aca="false">INDEX(Revenue!$D$48:$H$48,1,AJ$5)*INDEX(Assumptions!$B$48:$M$48,1,AJ$6)</f>
        <v>11200000</v>
      </c>
      <c r="AK16" s="21" t="n">
        <f aca="false">INDEX(Revenue!$D$48:$H$48,1,AK$5)*INDEX(Assumptions!$B$48:$M$48,1,AK$6)</f>
        <v>6720000</v>
      </c>
      <c r="AL16" s="21" t="n">
        <f aca="false">INDEX(Revenue!$D$48:$H$48,1,AL$5)*INDEX(Assumptions!$B$48:$M$48,1,AL$6)</f>
        <v>5320000</v>
      </c>
      <c r="AM16" s="21" t="n">
        <f aca="false">INDEX(Revenue!$D$48:$H$48,1,AM$5)*INDEX(Assumptions!$B$48:$M$48,1,AM$6)</f>
        <v>10640000</v>
      </c>
      <c r="AN16" s="21" t="n">
        <f aca="false">INDEX(Revenue!$D$48:$H$48,1,AN$5)*INDEX(Assumptions!$B$48:$M$48,1,AN$6)</f>
        <v>21280000</v>
      </c>
      <c r="AO16" s="21" t="n">
        <f aca="false">INDEX(Revenue!$D$48:$H$48,1,AO$5)*INDEX(Assumptions!$B$48:$M$48,1,AO$6)</f>
        <v>26600000</v>
      </c>
      <c r="AP16" s="21" t="n">
        <f aca="false">INDEX(Revenue!$D$48:$H$48,1,AP$5)*INDEX(Assumptions!$B$48:$M$48,1,AP$6)</f>
        <v>26600000</v>
      </c>
      <c r="AQ16" s="21" t="n">
        <f aca="false">INDEX(Revenue!$D$48:$H$48,1,AQ$5)*INDEX(Assumptions!$B$48:$M$48,1,AQ$6)</f>
        <v>26600000</v>
      </c>
      <c r="AR16" s="21" t="n">
        <f aca="false">INDEX(Revenue!$D$48:$H$48,1,AR$5)*INDEX(Assumptions!$B$48:$M$48,1,AR$6)</f>
        <v>21280000</v>
      </c>
      <c r="AS16" s="21" t="n">
        <f aca="false">INDEX(Revenue!$D$48:$H$48,1,AS$5)*INDEX(Assumptions!$B$48:$M$48,1,AS$6)</f>
        <v>21280000</v>
      </c>
      <c r="AT16" s="21" t="n">
        <f aca="false">INDEX(Revenue!$D$48:$H$48,1,AT$5)*INDEX(Assumptions!$B$48:$M$48,1,AT$6)</f>
        <v>31920000</v>
      </c>
      <c r="AU16" s="21" t="n">
        <f aca="false">INDEX(Revenue!$D$48:$H$48,1,AU$5)*INDEX(Assumptions!$B$48:$M$48,1,AU$6)</f>
        <v>31920000</v>
      </c>
      <c r="AV16" s="21" t="n">
        <f aca="false">INDEX(Revenue!$D$48:$H$48,1,AV$5)*INDEX(Assumptions!$B$48:$M$48,1,AV$6)</f>
        <v>26600000</v>
      </c>
      <c r="AW16" s="21" t="n">
        <f aca="false">INDEX(Revenue!$D$48:$H$48,1,AW$5)*INDEX(Assumptions!$B$48:$M$48,1,AW$6)</f>
        <v>15960000</v>
      </c>
      <c r="AX16" s="21" t="n">
        <f aca="false">INDEX(Revenue!$D$48:$H$48,1,AX$5)*INDEX(Assumptions!$B$48:$M$48,1,AX$6)</f>
        <v>6800000</v>
      </c>
      <c r="AY16" s="21" t="n">
        <f aca="false">INDEX(Revenue!$D$48:$H$48,1,AY$5)*INDEX(Assumptions!$B$48:$M$48,1,AY$6)</f>
        <v>13600000</v>
      </c>
      <c r="AZ16" s="21" t="n">
        <f aca="false">INDEX(Revenue!$D$48:$H$48,1,AZ$5)*INDEX(Assumptions!$B$48:$M$48,1,AZ$6)</f>
        <v>27200000</v>
      </c>
      <c r="BA16" s="21" t="n">
        <f aca="false">INDEX(Revenue!$D$48:$H$48,1,BA$5)*INDEX(Assumptions!$B$48:$M$48,1,BA$6)</f>
        <v>34000000</v>
      </c>
      <c r="BB16" s="21" t="n">
        <f aca="false">INDEX(Revenue!$D$48:$H$48,1,BB$5)*INDEX(Assumptions!$B$48:$M$48,1,BB$6)</f>
        <v>34000000</v>
      </c>
      <c r="BC16" s="21" t="n">
        <f aca="false">INDEX(Revenue!$D$48:$H$48,1,BC$5)*INDEX(Assumptions!$B$48:$M$48,1,BC$6)</f>
        <v>34000000</v>
      </c>
      <c r="BD16" s="21" t="n">
        <f aca="false">INDEX(Revenue!$D$48:$H$48,1,BD$5)*INDEX(Assumptions!$B$48:$M$48,1,BD$6)</f>
        <v>27200000</v>
      </c>
      <c r="BE16" s="21" t="n">
        <f aca="false">INDEX(Revenue!$D$48:$H$48,1,BE$5)*INDEX(Assumptions!$B$48:$M$48,1,BE$6)</f>
        <v>27200000</v>
      </c>
      <c r="BF16" s="21" t="n">
        <f aca="false">INDEX(Revenue!$D$48:$H$48,1,BF$5)*INDEX(Assumptions!$B$48:$M$48,1,BF$6)</f>
        <v>40800000</v>
      </c>
      <c r="BG16" s="21" t="n">
        <f aca="false">INDEX(Revenue!$D$48:$H$48,1,BG$5)*INDEX(Assumptions!$B$48:$M$48,1,BG$6)</f>
        <v>40800000</v>
      </c>
      <c r="BH16" s="21" t="n">
        <f aca="false">INDEX(Revenue!$D$48:$H$48,1,BH$5)*INDEX(Assumptions!$B$48:$M$48,1,BH$6)</f>
        <v>34000000</v>
      </c>
      <c r="BI16" s="21" t="n">
        <f aca="false">INDEX(Revenue!$D$48:$H$48,1,BI$5)*INDEX(Assumptions!$B$48:$M$48,1,BI$6)</f>
        <v>20400000</v>
      </c>
    </row>
    <row r="17" customFormat="false" ht="15" hidden="false" customHeight="true" outlineLevel="0" collapsed="false">
      <c r="A17" s="5" t="s">
        <v>100</v>
      </c>
      <c r="B17" s="21" t="n">
        <f aca="false">INDEX(Revenue!$D$49:$H$49,1,B$5)*INDEX(Assumptions!$B$49:$M$49,1,B$6)</f>
        <v>0</v>
      </c>
      <c r="C17" s="21" t="n">
        <f aca="false">INDEX(Revenue!$D$49:$H$49,1,C$5)*INDEX(Assumptions!$B$49:$M$49,1,C$6)</f>
        <v>0</v>
      </c>
      <c r="D17" s="21" t="n">
        <f aca="false">INDEX(Revenue!$D$49:$H$49,1,D$5)*INDEX(Assumptions!$B$49:$M$49,1,D$6)</f>
        <v>0</v>
      </c>
      <c r="E17" s="21" t="n">
        <f aca="false">INDEX(Revenue!$D$49:$H$49,1,E$5)*INDEX(Assumptions!$B$49:$M$49,1,E$6)</f>
        <v>0</v>
      </c>
      <c r="F17" s="21" t="n">
        <f aca="false">INDEX(Revenue!$D$49:$H$49,1,F$5)*INDEX(Assumptions!$B$49:$M$49,1,F$6)</f>
        <v>0</v>
      </c>
      <c r="G17" s="21" t="n">
        <f aca="false">INDEX(Revenue!$D$49:$H$49,1,G$5)*INDEX(Assumptions!$B$49:$M$49,1,G$6)</f>
        <v>0</v>
      </c>
      <c r="H17" s="21" t="n">
        <f aca="false">INDEX(Revenue!$D$49:$H$49,1,H$5)*INDEX(Assumptions!$B$49:$M$49,1,H$6)</f>
        <v>0</v>
      </c>
      <c r="I17" s="21" t="n">
        <f aca="false">INDEX(Revenue!$D$49:$H$49,1,I$5)*INDEX(Assumptions!$B$49:$M$49,1,I$6)</f>
        <v>0</v>
      </c>
      <c r="J17" s="21" t="n">
        <f aca="false">INDEX(Revenue!$D$49:$H$49,1,J$5)*INDEX(Assumptions!$B$49:$M$49,1,J$6)</f>
        <v>0</v>
      </c>
      <c r="K17" s="21" t="n">
        <f aca="false">INDEX(Revenue!$D$49:$H$49,1,K$5)*INDEX(Assumptions!$B$49:$M$49,1,K$6)</f>
        <v>0</v>
      </c>
      <c r="L17" s="21" t="n">
        <f aca="false">INDEX(Revenue!$D$49:$H$49,1,L$5)*INDEX(Assumptions!$B$49:$M$49,1,L$6)</f>
        <v>0</v>
      </c>
      <c r="M17" s="21" t="n">
        <f aca="false">INDEX(Revenue!$D$49:$H$49,1,M$5)*INDEX(Assumptions!$B$49:$M$49,1,M$6)</f>
        <v>0</v>
      </c>
      <c r="N17" s="21" t="n">
        <f aca="false">INDEX(Revenue!$D$49:$H$49,1,N$5)*INDEX(Assumptions!$B$49:$M$49,1,N$6)</f>
        <v>720000</v>
      </c>
      <c r="O17" s="21" t="n">
        <f aca="false">INDEX(Revenue!$D$49:$H$49,1,O$5)*INDEX(Assumptions!$B$49:$M$49,1,O$6)</f>
        <v>480000</v>
      </c>
      <c r="P17" s="21" t="n">
        <f aca="false">INDEX(Revenue!$D$49:$H$49,1,P$5)*INDEX(Assumptions!$B$49:$M$49,1,P$6)</f>
        <v>480000</v>
      </c>
      <c r="Q17" s="21" t="n">
        <f aca="false">INDEX(Revenue!$D$49:$H$49,1,Q$5)*INDEX(Assumptions!$B$49:$M$49,1,Q$6)</f>
        <v>480000</v>
      </c>
      <c r="R17" s="21" t="n">
        <f aca="false">INDEX(Revenue!$D$49:$H$49,1,R$5)*INDEX(Assumptions!$B$49:$M$49,1,R$6)</f>
        <v>480000</v>
      </c>
      <c r="S17" s="21" t="n">
        <f aca="false">INDEX(Revenue!$D$49:$H$49,1,S$5)*INDEX(Assumptions!$B$49:$M$49,1,S$6)</f>
        <v>480000</v>
      </c>
      <c r="T17" s="21" t="n">
        <f aca="false">INDEX(Revenue!$D$49:$H$49,1,T$5)*INDEX(Assumptions!$B$49:$M$49,1,T$6)</f>
        <v>480000</v>
      </c>
      <c r="U17" s="21" t="n">
        <f aca="false">INDEX(Revenue!$D$49:$H$49,1,U$5)*INDEX(Assumptions!$B$49:$M$49,1,U$6)</f>
        <v>480000</v>
      </c>
      <c r="V17" s="21" t="n">
        <f aca="false">INDEX(Revenue!$D$49:$H$49,1,V$5)*INDEX(Assumptions!$B$49:$M$49,1,V$6)</f>
        <v>480000</v>
      </c>
      <c r="W17" s="21" t="n">
        <f aca="false">INDEX(Revenue!$D$49:$H$49,1,W$5)*INDEX(Assumptions!$B$49:$M$49,1,W$6)</f>
        <v>480000</v>
      </c>
      <c r="X17" s="21" t="n">
        <f aca="false">INDEX(Revenue!$D$49:$H$49,1,X$5)*INDEX(Assumptions!$B$49:$M$49,1,X$6)</f>
        <v>480000</v>
      </c>
      <c r="Y17" s="21" t="n">
        <f aca="false">INDEX(Revenue!$D$49:$H$49,1,Y$5)*INDEX(Assumptions!$B$49:$M$49,1,Y$6)</f>
        <v>480000</v>
      </c>
      <c r="Z17" s="21" t="n">
        <f aca="false">INDEX(Revenue!$D$49:$H$49,1,Z$5)*INDEX(Assumptions!$B$49:$M$49,1,Z$6)</f>
        <v>4080000</v>
      </c>
      <c r="AA17" s="21" t="n">
        <f aca="false">INDEX(Revenue!$D$49:$H$49,1,AA$5)*INDEX(Assumptions!$B$49:$M$49,1,AA$6)</f>
        <v>2720000</v>
      </c>
      <c r="AB17" s="21" t="n">
        <f aca="false">INDEX(Revenue!$D$49:$H$49,1,AB$5)*INDEX(Assumptions!$B$49:$M$49,1,AB$6)</f>
        <v>2720000</v>
      </c>
      <c r="AC17" s="21" t="n">
        <f aca="false">INDEX(Revenue!$D$49:$H$49,1,AC$5)*INDEX(Assumptions!$B$49:$M$49,1,AC$6)</f>
        <v>2720000</v>
      </c>
      <c r="AD17" s="21" t="n">
        <f aca="false">INDEX(Revenue!$D$49:$H$49,1,AD$5)*INDEX(Assumptions!$B$49:$M$49,1,AD$6)</f>
        <v>2720000</v>
      </c>
      <c r="AE17" s="21" t="n">
        <f aca="false">INDEX(Revenue!$D$49:$H$49,1,AE$5)*INDEX(Assumptions!$B$49:$M$49,1,AE$6)</f>
        <v>2720000</v>
      </c>
      <c r="AF17" s="21" t="n">
        <f aca="false">INDEX(Revenue!$D$49:$H$49,1,AF$5)*INDEX(Assumptions!$B$49:$M$49,1,AF$6)</f>
        <v>2720000</v>
      </c>
      <c r="AG17" s="21" t="n">
        <f aca="false">INDEX(Revenue!$D$49:$H$49,1,AG$5)*INDEX(Assumptions!$B$49:$M$49,1,AG$6)</f>
        <v>2720000</v>
      </c>
      <c r="AH17" s="21" t="n">
        <f aca="false">INDEX(Revenue!$D$49:$H$49,1,AH$5)*INDEX(Assumptions!$B$49:$M$49,1,AH$6)</f>
        <v>2720000</v>
      </c>
      <c r="AI17" s="21" t="n">
        <f aca="false">INDEX(Revenue!$D$49:$H$49,1,AI$5)*INDEX(Assumptions!$B$49:$M$49,1,AI$6)</f>
        <v>2720000</v>
      </c>
      <c r="AJ17" s="21" t="n">
        <f aca="false">INDEX(Revenue!$D$49:$H$49,1,AJ$5)*INDEX(Assumptions!$B$49:$M$49,1,AJ$6)</f>
        <v>2720000</v>
      </c>
      <c r="AK17" s="21" t="n">
        <f aca="false">INDEX(Revenue!$D$49:$H$49,1,AK$5)*INDEX(Assumptions!$B$49:$M$49,1,AK$6)</f>
        <v>2720000</v>
      </c>
      <c r="AL17" s="21" t="n">
        <f aca="false">INDEX(Revenue!$D$49:$H$49,1,AL$5)*INDEX(Assumptions!$B$49:$M$49,1,AL$6)</f>
        <v>9672000</v>
      </c>
      <c r="AM17" s="21" t="n">
        <f aca="false">INDEX(Revenue!$D$49:$H$49,1,AM$5)*INDEX(Assumptions!$B$49:$M$49,1,AM$6)</f>
        <v>6448000</v>
      </c>
      <c r="AN17" s="21" t="n">
        <f aca="false">INDEX(Revenue!$D$49:$H$49,1,AN$5)*INDEX(Assumptions!$B$49:$M$49,1,AN$6)</f>
        <v>6448000</v>
      </c>
      <c r="AO17" s="21" t="n">
        <f aca="false">INDEX(Revenue!$D$49:$H$49,1,AO$5)*INDEX(Assumptions!$B$49:$M$49,1,AO$6)</f>
        <v>6448000</v>
      </c>
      <c r="AP17" s="21" t="n">
        <f aca="false">INDEX(Revenue!$D$49:$H$49,1,AP$5)*INDEX(Assumptions!$B$49:$M$49,1,AP$6)</f>
        <v>6448000</v>
      </c>
      <c r="AQ17" s="21" t="n">
        <f aca="false">INDEX(Revenue!$D$49:$H$49,1,AQ$5)*INDEX(Assumptions!$B$49:$M$49,1,AQ$6)</f>
        <v>6448000</v>
      </c>
      <c r="AR17" s="21" t="n">
        <f aca="false">INDEX(Revenue!$D$49:$H$49,1,AR$5)*INDEX(Assumptions!$B$49:$M$49,1,AR$6)</f>
        <v>6448000</v>
      </c>
      <c r="AS17" s="21" t="n">
        <f aca="false">INDEX(Revenue!$D$49:$H$49,1,AS$5)*INDEX(Assumptions!$B$49:$M$49,1,AS$6)</f>
        <v>6448000</v>
      </c>
      <c r="AT17" s="21" t="n">
        <f aca="false">INDEX(Revenue!$D$49:$H$49,1,AT$5)*INDEX(Assumptions!$B$49:$M$49,1,AT$6)</f>
        <v>6448000</v>
      </c>
      <c r="AU17" s="21" t="n">
        <f aca="false">INDEX(Revenue!$D$49:$H$49,1,AU$5)*INDEX(Assumptions!$B$49:$M$49,1,AU$6)</f>
        <v>6448000</v>
      </c>
      <c r="AV17" s="21" t="n">
        <f aca="false">INDEX(Revenue!$D$49:$H$49,1,AV$5)*INDEX(Assumptions!$B$49:$M$49,1,AV$6)</f>
        <v>6448000</v>
      </c>
      <c r="AW17" s="21" t="n">
        <f aca="false">INDEX(Revenue!$D$49:$H$49,1,AW$5)*INDEX(Assumptions!$B$49:$M$49,1,AW$6)</f>
        <v>6448000</v>
      </c>
      <c r="AX17" s="21" t="n">
        <f aca="false">INDEX(Revenue!$D$49:$H$49,1,AX$5)*INDEX(Assumptions!$B$49:$M$49,1,AX$6)</f>
        <v>15840000</v>
      </c>
      <c r="AY17" s="21" t="n">
        <f aca="false">INDEX(Revenue!$D$49:$H$49,1,AY$5)*INDEX(Assumptions!$B$49:$M$49,1,AY$6)</f>
        <v>10560000</v>
      </c>
      <c r="AZ17" s="21" t="n">
        <f aca="false">INDEX(Revenue!$D$49:$H$49,1,AZ$5)*INDEX(Assumptions!$B$49:$M$49,1,AZ$6)</f>
        <v>10560000</v>
      </c>
      <c r="BA17" s="21" t="n">
        <f aca="false">INDEX(Revenue!$D$49:$H$49,1,BA$5)*INDEX(Assumptions!$B$49:$M$49,1,BA$6)</f>
        <v>10560000</v>
      </c>
      <c r="BB17" s="21" t="n">
        <f aca="false">INDEX(Revenue!$D$49:$H$49,1,BB$5)*INDEX(Assumptions!$B$49:$M$49,1,BB$6)</f>
        <v>10560000</v>
      </c>
      <c r="BC17" s="21" t="n">
        <f aca="false">INDEX(Revenue!$D$49:$H$49,1,BC$5)*INDEX(Assumptions!$B$49:$M$49,1,BC$6)</f>
        <v>10560000</v>
      </c>
      <c r="BD17" s="21" t="n">
        <f aca="false">INDEX(Revenue!$D$49:$H$49,1,BD$5)*INDEX(Assumptions!$B$49:$M$49,1,BD$6)</f>
        <v>10560000</v>
      </c>
      <c r="BE17" s="21" t="n">
        <f aca="false">INDEX(Revenue!$D$49:$H$49,1,BE$5)*INDEX(Assumptions!$B$49:$M$49,1,BE$6)</f>
        <v>10560000</v>
      </c>
      <c r="BF17" s="21" t="n">
        <f aca="false">INDEX(Revenue!$D$49:$H$49,1,BF$5)*INDEX(Assumptions!$B$49:$M$49,1,BF$6)</f>
        <v>10560000</v>
      </c>
      <c r="BG17" s="21" t="n">
        <f aca="false">INDEX(Revenue!$D$49:$H$49,1,BG$5)*INDEX(Assumptions!$B$49:$M$49,1,BG$6)</f>
        <v>10560000</v>
      </c>
      <c r="BH17" s="21" t="n">
        <f aca="false">INDEX(Revenue!$D$49:$H$49,1,BH$5)*INDEX(Assumptions!$B$49:$M$49,1,BH$6)</f>
        <v>10560000</v>
      </c>
      <c r="BI17" s="21" t="n">
        <f aca="false">INDEX(Revenue!$D$49:$H$49,1,BI$5)*INDEX(Assumptions!$B$49:$M$49,1,BI$6)</f>
        <v>10560000</v>
      </c>
    </row>
    <row r="18" customFormat="false" ht="15" hidden="false" customHeight="true" outlineLevel="0" collapsed="false">
      <c r="A18" s="5" t="s">
        <v>101</v>
      </c>
      <c r="B18" s="21" t="n">
        <f aca="false">INDEX(Revenue!$D$50:$H$50,1,B$5)*INDEX(Assumptions!$B$50:$M$50,1,B$6)</f>
        <v>0</v>
      </c>
      <c r="C18" s="21" t="n">
        <f aca="false">INDEX(Revenue!$D$50:$H$50,1,C$5)*INDEX(Assumptions!$B$50:$M$50,1,C$6)</f>
        <v>0</v>
      </c>
      <c r="D18" s="21" t="n">
        <f aca="false">INDEX(Revenue!$D$50:$H$50,1,D$5)*INDEX(Assumptions!$B$50:$M$50,1,D$6)</f>
        <v>0</v>
      </c>
      <c r="E18" s="21" t="n">
        <f aca="false">INDEX(Revenue!$D$50:$H$50,1,E$5)*INDEX(Assumptions!$B$50:$M$50,1,E$6)</f>
        <v>0</v>
      </c>
      <c r="F18" s="21" t="n">
        <f aca="false">INDEX(Revenue!$D$50:$H$50,1,F$5)*INDEX(Assumptions!$B$50:$M$50,1,F$6)</f>
        <v>0</v>
      </c>
      <c r="G18" s="21" t="n">
        <f aca="false">INDEX(Revenue!$D$50:$H$50,1,G$5)*INDEX(Assumptions!$B$50:$M$50,1,G$6)</f>
        <v>0</v>
      </c>
      <c r="H18" s="21" t="n">
        <f aca="false">INDEX(Revenue!$D$50:$H$50,1,H$5)*INDEX(Assumptions!$B$50:$M$50,1,H$6)</f>
        <v>0</v>
      </c>
      <c r="I18" s="21" t="n">
        <f aca="false">INDEX(Revenue!$D$50:$H$50,1,I$5)*INDEX(Assumptions!$B$50:$M$50,1,I$6)</f>
        <v>0</v>
      </c>
      <c r="J18" s="21" t="n">
        <f aca="false">INDEX(Revenue!$D$50:$H$50,1,J$5)*INDEX(Assumptions!$B$50:$M$50,1,J$6)</f>
        <v>0</v>
      </c>
      <c r="K18" s="21" t="n">
        <f aca="false">INDEX(Revenue!$D$50:$H$50,1,K$5)*INDEX(Assumptions!$B$50:$M$50,1,K$6)</f>
        <v>0</v>
      </c>
      <c r="L18" s="21" t="n">
        <f aca="false">INDEX(Revenue!$D$50:$H$50,1,L$5)*INDEX(Assumptions!$B$50:$M$50,1,L$6)</f>
        <v>0</v>
      </c>
      <c r="M18" s="21" t="n">
        <f aca="false">INDEX(Revenue!$D$50:$H$50,1,M$5)*INDEX(Assumptions!$B$50:$M$50,1,M$6)</f>
        <v>0</v>
      </c>
      <c r="N18" s="21" t="n">
        <f aca="false">INDEX(Revenue!$D$50:$H$50,1,N$5)*INDEX(Assumptions!$B$50:$M$50,1,N$6)</f>
        <v>900000</v>
      </c>
      <c r="O18" s="21" t="n">
        <f aca="false">INDEX(Revenue!$D$50:$H$50,1,O$5)*INDEX(Assumptions!$B$50:$M$50,1,O$6)</f>
        <v>600000</v>
      </c>
      <c r="P18" s="21" t="n">
        <f aca="false">INDEX(Revenue!$D$50:$H$50,1,P$5)*INDEX(Assumptions!$B$50:$M$50,1,P$6)</f>
        <v>600000</v>
      </c>
      <c r="Q18" s="21" t="n">
        <f aca="false">INDEX(Revenue!$D$50:$H$50,1,Q$5)*INDEX(Assumptions!$B$50:$M$50,1,Q$6)</f>
        <v>600000</v>
      </c>
      <c r="R18" s="21" t="n">
        <f aca="false">INDEX(Revenue!$D$50:$H$50,1,R$5)*INDEX(Assumptions!$B$50:$M$50,1,R$6)</f>
        <v>600000</v>
      </c>
      <c r="S18" s="21" t="n">
        <f aca="false">INDEX(Revenue!$D$50:$H$50,1,S$5)*INDEX(Assumptions!$B$50:$M$50,1,S$6)</f>
        <v>600000</v>
      </c>
      <c r="T18" s="21" t="n">
        <f aca="false">INDEX(Revenue!$D$50:$H$50,1,T$5)*INDEX(Assumptions!$B$50:$M$50,1,T$6)</f>
        <v>600000</v>
      </c>
      <c r="U18" s="21" t="n">
        <f aca="false">INDEX(Revenue!$D$50:$H$50,1,U$5)*INDEX(Assumptions!$B$50:$M$50,1,U$6)</f>
        <v>600000</v>
      </c>
      <c r="V18" s="21" t="n">
        <f aca="false">INDEX(Revenue!$D$50:$H$50,1,V$5)*INDEX(Assumptions!$B$50:$M$50,1,V$6)</f>
        <v>600000</v>
      </c>
      <c r="W18" s="21" t="n">
        <f aca="false">INDEX(Revenue!$D$50:$H$50,1,W$5)*INDEX(Assumptions!$B$50:$M$50,1,W$6)</f>
        <v>600000</v>
      </c>
      <c r="X18" s="21" t="n">
        <f aca="false">INDEX(Revenue!$D$50:$H$50,1,X$5)*INDEX(Assumptions!$B$50:$M$50,1,X$6)</f>
        <v>600000</v>
      </c>
      <c r="Y18" s="21" t="n">
        <f aca="false">INDEX(Revenue!$D$50:$H$50,1,Y$5)*INDEX(Assumptions!$B$50:$M$50,1,Y$6)</f>
        <v>600000</v>
      </c>
      <c r="Z18" s="21" t="n">
        <f aca="false">INDEX(Revenue!$D$50:$H$50,1,Z$5)*INDEX(Assumptions!$B$50:$M$50,1,Z$6)</f>
        <v>3180000</v>
      </c>
      <c r="AA18" s="21" t="n">
        <f aca="false">INDEX(Revenue!$D$50:$H$50,1,AA$5)*INDEX(Assumptions!$B$50:$M$50,1,AA$6)</f>
        <v>2120000</v>
      </c>
      <c r="AB18" s="21" t="n">
        <f aca="false">INDEX(Revenue!$D$50:$H$50,1,AB$5)*INDEX(Assumptions!$B$50:$M$50,1,AB$6)</f>
        <v>2120000</v>
      </c>
      <c r="AC18" s="21" t="n">
        <f aca="false">INDEX(Revenue!$D$50:$H$50,1,AC$5)*INDEX(Assumptions!$B$50:$M$50,1,AC$6)</f>
        <v>2120000</v>
      </c>
      <c r="AD18" s="21" t="n">
        <f aca="false">INDEX(Revenue!$D$50:$H$50,1,AD$5)*INDEX(Assumptions!$B$50:$M$50,1,AD$6)</f>
        <v>2120000</v>
      </c>
      <c r="AE18" s="21" t="n">
        <f aca="false">INDEX(Revenue!$D$50:$H$50,1,AE$5)*INDEX(Assumptions!$B$50:$M$50,1,AE$6)</f>
        <v>2120000</v>
      </c>
      <c r="AF18" s="21" t="n">
        <f aca="false">INDEX(Revenue!$D$50:$H$50,1,AF$5)*INDEX(Assumptions!$B$50:$M$50,1,AF$6)</f>
        <v>2120000</v>
      </c>
      <c r="AG18" s="21" t="n">
        <f aca="false">INDEX(Revenue!$D$50:$H$50,1,AG$5)*INDEX(Assumptions!$B$50:$M$50,1,AG$6)</f>
        <v>2120000</v>
      </c>
      <c r="AH18" s="21" t="n">
        <f aca="false">INDEX(Revenue!$D$50:$H$50,1,AH$5)*INDEX(Assumptions!$B$50:$M$50,1,AH$6)</f>
        <v>2120000</v>
      </c>
      <c r="AI18" s="21" t="n">
        <f aca="false">INDEX(Revenue!$D$50:$H$50,1,AI$5)*INDEX(Assumptions!$B$50:$M$50,1,AI$6)</f>
        <v>2120000</v>
      </c>
      <c r="AJ18" s="21" t="n">
        <f aca="false">INDEX(Revenue!$D$50:$H$50,1,AJ$5)*INDEX(Assumptions!$B$50:$M$50,1,AJ$6)</f>
        <v>2120000</v>
      </c>
      <c r="AK18" s="21" t="n">
        <f aca="false">INDEX(Revenue!$D$50:$H$50,1,AK$5)*INDEX(Assumptions!$B$50:$M$50,1,AK$6)</f>
        <v>2120000</v>
      </c>
      <c r="AL18" s="21" t="n">
        <f aca="false">INDEX(Revenue!$D$50:$H$50,1,AL$5)*INDEX(Assumptions!$B$50:$M$50,1,AL$6)</f>
        <v>6000000</v>
      </c>
      <c r="AM18" s="21" t="n">
        <f aca="false">INDEX(Revenue!$D$50:$H$50,1,AM$5)*INDEX(Assumptions!$B$50:$M$50,1,AM$6)</f>
        <v>4000000</v>
      </c>
      <c r="AN18" s="21" t="n">
        <f aca="false">INDEX(Revenue!$D$50:$H$50,1,AN$5)*INDEX(Assumptions!$B$50:$M$50,1,AN$6)</f>
        <v>4000000</v>
      </c>
      <c r="AO18" s="21" t="n">
        <f aca="false">INDEX(Revenue!$D$50:$H$50,1,AO$5)*INDEX(Assumptions!$B$50:$M$50,1,AO$6)</f>
        <v>4000000</v>
      </c>
      <c r="AP18" s="21" t="n">
        <f aca="false">INDEX(Revenue!$D$50:$H$50,1,AP$5)*INDEX(Assumptions!$B$50:$M$50,1,AP$6)</f>
        <v>4000000</v>
      </c>
      <c r="AQ18" s="21" t="n">
        <f aca="false">INDEX(Revenue!$D$50:$H$50,1,AQ$5)*INDEX(Assumptions!$B$50:$M$50,1,AQ$6)</f>
        <v>4000000</v>
      </c>
      <c r="AR18" s="21" t="n">
        <f aca="false">INDEX(Revenue!$D$50:$H$50,1,AR$5)*INDEX(Assumptions!$B$50:$M$50,1,AR$6)</f>
        <v>4000000</v>
      </c>
      <c r="AS18" s="21" t="n">
        <f aca="false">INDEX(Revenue!$D$50:$H$50,1,AS$5)*INDEX(Assumptions!$B$50:$M$50,1,AS$6)</f>
        <v>4000000</v>
      </c>
      <c r="AT18" s="21" t="n">
        <f aca="false">INDEX(Revenue!$D$50:$H$50,1,AT$5)*INDEX(Assumptions!$B$50:$M$50,1,AT$6)</f>
        <v>4000000</v>
      </c>
      <c r="AU18" s="21" t="n">
        <f aca="false">INDEX(Revenue!$D$50:$H$50,1,AU$5)*INDEX(Assumptions!$B$50:$M$50,1,AU$6)</f>
        <v>4000000</v>
      </c>
      <c r="AV18" s="21" t="n">
        <f aca="false">INDEX(Revenue!$D$50:$H$50,1,AV$5)*INDEX(Assumptions!$B$50:$M$50,1,AV$6)</f>
        <v>4000000</v>
      </c>
      <c r="AW18" s="21" t="n">
        <f aca="false">INDEX(Revenue!$D$50:$H$50,1,AW$5)*INDEX(Assumptions!$B$50:$M$50,1,AW$6)</f>
        <v>4000000</v>
      </c>
      <c r="AX18" s="21" t="n">
        <f aca="false">INDEX(Revenue!$D$50:$H$50,1,AX$5)*INDEX(Assumptions!$B$50:$M$50,1,AX$6)</f>
        <v>9000000</v>
      </c>
      <c r="AY18" s="21" t="n">
        <f aca="false">INDEX(Revenue!$D$50:$H$50,1,AY$5)*INDEX(Assumptions!$B$50:$M$50,1,AY$6)</f>
        <v>6000000</v>
      </c>
      <c r="AZ18" s="21" t="n">
        <f aca="false">INDEX(Revenue!$D$50:$H$50,1,AZ$5)*INDEX(Assumptions!$B$50:$M$50,1,AZ$6)</f>
        <v>6000000</v>
      </c>
      <c r="BA18" s="21" t="n">
        <f aca="false">INDEX(Revenue!$D$50:$H$50,1,BA$5)*INDEX(Assumptions!$B$50:$M$50,1,BA$6)</f>
        <v>6000000</v>
      </c>
      <c r="BB18" s="21" t="n">
        <f aca="false">INDEX(Revenue!$D$50:$H$50,1,BB$5)*INDEX(Assumptions!$B$50:$M$50,1,BB$6)</f>
        <v>6000000</v>
      </c>
      <c r="BC18" s="21" t="n">
        <f aca="false">INDEX(Revenue!$D$50:$H$50,1,BC$5)*INDEX(Assumptions!$B$50:$M$50,1,BC$6)</f>
        <v>6000000</v>
      </c>
      <c r="BD18" s="21" t="n">
        <f aca="false">INDEX(Revenue!$D$50:$H$50,1,BD$5)*INDEX(Assumptions!$B$50:$M$50,1,BD$6)</f>
        <v>6000000</v>
      </c>
      <c r="BE18" s="21" t="n">
        <f aca="false">INDEX(Revenue!$D$50:$H$50,1,BE$5)*INDEX(Assumptions!$B$50:$M$50,1,BE$6)</f>
        <v>6000000</v>
      </c>
      <c r="BF18" s="21" t="n">
        <f aca="false">INDEX(Revenue!$D$50:$H$50,1,BF$5)*INDEX(Assumptions!$B$50:$M$50,1,BF$6)</f>
        <v>6000000</v>
      </c>
      <c r="BG18" s="21" t="n">
        <f aca="false">INDEX(Revenue!$D$50:$H$50,1,BG$5)*INDEX(Assumptions!$B$50:$M$50,1,BG$6)</f>
        <v>6000000</v>
      </c>
      <c r="BH18" s="21" t="n">
        <f aca="false">INDEX(Revenue!$D$50:$H$50,1,BH$5)*INDEX(Assumptions!$B$50:$M$50,1,BH$6)</f>
        <v>6000000</v>
      </c>
      <c r="BI18" s="21" t="n">
        <f aca="false">INDEX(Revenue!$D$50:$H$50,1,BI$5)*INDEX(Assumptions!$B$50:$M$50,1,BI$6)</f>
        <v>6000000</v>
      </c>
    </row>
    <row r="19" customFormat="false" ht="15" hidden="false" customHeight="true" outlineLevel="0" collapsed="false">
      <c r="A19" s="6" t="s">
        <v>228</v>
      </c>
      <c r="B19" s="27" t="n">
        <f aca="false">SUM(B9:B18)</f>
        <v>16322500</v>
      </c>
      <c r="C19" s="27" t="n">
        <f aca="false">SUM(C9:C18)</f>
        <v>26827500</v>
      </c>
      <c r="D19" s="27" t="n">
        <f aca="false">SUM(D9:D18)</f>
        <v>20510000</v>
      </c>
      <c r="E19" s="27" t="n">
        <f aca="false">SUM(E9:E18)</f>
        <v>19612500</v>
      </c>
      <c r="F19" s="27" t="n">
        <f aca="false">SUM(F9:F18)</f>
        <v>20792500</v>
      </c>
      <c r="G19" s="27" t="n">
        <f aca="false">SUM(G9:G18)</f>
        <v>20293750</v>
      </c>
      <c r="H19" s="27" t="n">
        <f aca="false">SUM(H9:H18)</f>
        <v>29313750</v>
      </c>
      <c r="I19" s="27" t="n">
        <f aca="false">SUM(I9:I18)</f>
        <v>18513750</v>
      </c>
      <c r="J19" s="27" t="n">
        <f aca="false">SUM(J9:J18)</f>
        <v>28392500</v>
      </c>
      <c r="K19" s="27" t="n">
        <f aca="false">SUM(K9:K18)</f>
        <v>19992500</v>
      </c>
      <c r="L19" s="27" t="n">
        <f aca="false">SUM(L9:L18)</f>
        <v>17391250</v>
      </c>
      <c r="M19" s="27" t="n">
        <f aca="false">SUM(M9:M18)</f>
        <v>10912500</v>
      </c>
      <c r="N19" s="27" t="n">
        <f aca="false">SUM(N9:N18)</f>
        <v>42587500</v>
      </c>
      <c r="O19" s="27" t="n">
        <f aca="false">SUM(O9:O18)</f>
        <v>46227500</v>
      </c>
      <c r="P19" s="27" t="n">
        <f aca="false">SUM(P9:P18)</f>
        <v>42620000</v>
      </c>
      <c r="Q19" s="27" t="n">
        <f aca="false">SUM(Q9:Q18)</f>
        <v>43292500</v>
      </c>
      <c r="R19" s="27" t="n">
        <f aca="false">SUM(R9:R18)</f>
        <v>45702500</v>
      </c>
      <c r="S19" s="27" t="n">
        <f aca="false">SUM(S9:S18)</f>
        <v>43716250</v>
      </c>
      <c r="T19" s="27" t="n">
        <f aca="false">SUM(T9:T18)</f>
        <v>53946250</v>
      </c>
      <c r="U19" s="27" t="n">
        <f aca="false">SUM(U9:U18)</f>
        <v>40186250</v>
      </c>
      <c r="V19" s="27" t="n">
        <f aca="false">SUM(V9:V18)</f>
        <v>60632500</v>
      </c>
      <c r="W19" s="27" t="n">
        <f aca="false">SUM(W9:W18)</f>
        <v>45192500</v>
      </c>
      <c r="X19" s="27" t="n">
        <f aca="false">SUM(X9:X18)</f>
        <v>40753750</v>
      </c>
      <c r="Y19" s="27" t="n">
        <f aca="false">SUM(Y9:Y18)</f>
        <v>27267500</v>
      </c>
      <c r="Z19" s="27" t="n">
        <f aca="false">SUM(Z9:Z18)</f>
        <v>88887500</v>
      </c>
      <c r="AA19" s="27" t="n">
        <f aca="false">SUM(AA9:AA18)</f>
        <v>90992500</v>
      </c>
      <c r="AB19" s="27" t="n">
        <f aca="false">SUM(AB9:AB18)</f>
        <v>83982500</v>
      </c>
      <c r="AC19" s="27" t="n">
        <f aca="false">SUM(AC9:AC18)</f>
        <v>85769500</v>
      </c>
      <c r="AD19" s="27" t="n">
        <f aca="false">SUM(AD9:AD18)</f>
        <v>90509500</v>
      </c>
      <c r="AE19" s="27" t="n">
        <f aca="false">SUM(AE9:AE18)</f>
        <v>86969250</v>
      </c>
      <c r="AF19" s="27" t="n">
        <f aca="false">SUM(AF9:AF18)</f>
        <v>105233750</v>
      </c>
      <c r="AG19" s="27" t="n">
        <f aca="false">SUM(AG9:AG18)</f>
        <v>79989250</v>
      </c>
      <c r="AH19" s="27" t="n">
        <f aca="false">SUM(AH9:AH18)</f>
        <v>117409500</v>
      </c>
      <c r="AI19" s="27" t="n">
        <f aca="false">SUM(AI9:AI18)</f>
        <v>89726500</v>
      </c>
      <c r="AJ19" s="27" t="n">
        <f aca="false">SUM(AJ9:AJ18)</f>
        <v>82062750</v>
      </c>
      <c r="AK19" s="27" t="n">
        <f aca="false">SUM(AK9:AK18)</f>
        <v>57442500</v>
      </c>
      <c r="AL19" s="27" t="n">
        <f aca="false">SUM(AL9:AL18)</f>
        <v>158642000</v>
      </c>
      <c r="AM19" s="27" t="n">
        <f aca="false">SUM(AM9:AM18)</f>
        <v>146889000</v>
      </c>
      <c r="AN19" s="27" t="n">
        <f aca="false">SUM(AN9:AN18)</f>
        <v>142177500</v>
      </c>
      <c r="AO19" s="27" t="n">
        <f aca="false">SUM(AO9:AO18)</f>
        <v>147733000</v>
      </c>
      <c r="AP19" s="27" t="n">
        <f aca="false">SUM(AP9:AP18)</f>
        <v>155569000</v>
      </c>
      <c r="AQ19" s="27" t="n">
        <f aca="false">SUM(AQ9:AQ18)</f>
        <v>151238000</v>
      </c>
      <c r="AR19" s="27" t="n">
        <f aca="false">SUM(AR9:AR18)</f>
        <v>175425500</v>
      </c>
      <c r="AS19" s="27" t="n">
        <f aca="false">SUM(AS9:AS18)</f>
        <v>138082000</v>
      </c>
      <c r="AT19" s="27" t="n">
        <f aca="false">SUM(AT9:AT18)</f>
        <v>202199000</v>
      </c>
      <c r="AU19" s="27" t="n">
        <f aca="false">SUM(AU9:AU18)</f>
        <v>155674000</v>
      </c>
      <c r="AV19" s="27" t="n">
        <f aca="false">SUM(AV9:AV18)</f>
        <v>142958000</v>
      </c>
      <c r="AW19" s="27" t="n">
        <f aca="false">SUM(AW9:AW18)</f>
        <v>101663000</v>
      </c>
      <c r="AX19" s="27" t="n">
        <f aca="false">SUM(AX9:AX18)</f>
        <v>244175000</v>
      </c>
      <c r="AY19" s="27" t="n">
        <f aca="false">SUM(AY9:AY18)</f>
        <v>207445000</v>
      </c>
      <c r="AZ19" s="27" t="n">
        <f aca="false">SUM(AZ9:AZ18)</f>
        <v>204210000</v>
      </c>
      <c r="BA19" s="27" t="n">
        <f aca="false">SUM(BA9:BA18)</f>
        <v>212935000</v>
      </c>
      <c r="BB19" s="27" t="n">
        <f aca="false">SUM(BB9:BB18)</f>
        <v>224735000</v>
      </c>
      <c r="BC19" s="27" t="n">
        <f aca="false">SUM(BC9:BC18)</f>
        <v>219872500</v>
      </c>
      <c r="BD19" s="27" t="n">
        <f aca="false">SUM(BD9:BD18)</f>
        <v>251742500</v>
      </c>
      <c r="BE19" s="27" t="n">
        <f aca="false">SUM(BE9:BE18)</f>
        <v>201272500</v>
      </c>
      <c r="BF19" s="27" t="n">
        <f aca="false">SUM(BF9:BF18)</f>
        <v>295615000</v>
      </c>
      <c r="BG19" s="27" t="n">
        <f aca="false">SUM(BG9:BG18)</f>
        <v>223515000</v>
      </c>
      <c r="BH19" s="27" t="n">
        <f aca="false">SUM(BH9:BH18)</f>
        <v>206877500</v>
      </c>
      <c r="BI19" s="27" t="n">
        <f aca="false">SUM(BI9:BI18)</f>
        <v>149355000</v>
      </c>
    </row>
    <row r="20" customFormat="false" ht="15" hidden="false" customHeight="true" outlineLevel="0" collapsed="false">
      <c r="A20" s="4" t="s">
        <v>300</v>
      </c>
    </row>
    <row r="21" customFormat="false" ht="15" hidden="false" customHeight="true" outlineLevel="0" collapsed="false">
      <c r="A21" s="6" t="s">
        <v>301</v>
      </c>
      <c r="B21" s="21" t="n">
        <f aca="false">IF(B$4-Assumptions!$C$34&lt;1,0,INDEX($B$19:$BI$19,1,B$4-Assumptions!$C$34))</f>
        <v>0</v>
      </c>
      <c r="C21" s="21" t="n">
        <f aca="false">IF(C$4-Assumptions!$C$34&lt;1,0,INDEX($B$19:$BI$19,1,C$4-Assumptions!$C$34))</f>
        <v>16322500</v>
      </c>
      <c r="D21" s="21" t="n">
        <f aca="false">IF(D$4-Assumptions!$C$34&lt;1,0,INDEX($B$19:$BI$19,1,D$4-Assumptions!$C$34))</f>
        <v>26827500</v>
      </c>
      <c r="E21" s="21" t="n">
        <f aca="false">IF(E$4-Assumptions!$C$34&lt;1,0,INDEX($B$19:$BI$19,1,E$4-Assumptions!$C$34))</f>
        <v>20510000</v>
      </c>
      <c r="F21" s="21" t="n">
        <f aca="false">IF(F$4-Assumptions!$C$34&lt;1,0,INDEX($B$19:$BI$19,1,F$4-Assumptions!$C$34))</f>
        <v>19612500</v>
      </c>
      <c r="G21" s="21" t="n">
        <f aca="false">IF(G$4-Assumptions!$C$34&lt;1,0,INDEX($B$19:$BI$19,1,G$4-Assumptions!$C$34))</f>
        <v>20792500</v>
      </c>
      <c r="H21" s="21" t="n">
        <f aca="false">IF(H$4-Assumptions!$C$34&lt;1,0,INDEX($B$19:$BI$19,1,H$4-Assumptions!$C$34))</f>
        <v>20293750</v>
      </c>
      <c r="I21" s="21" t="n">
        <f aca="false">IF(I$4-Assumptions!$C$34&lt;1,0,INDEX($B$19:$BI$19,1,I$4-Assumptions!$C$34))</f>
        <v>29313750</v>
      </c>
      <c r="J21" s="21" t="n">
        <f aca="false">IF(J$4-Assumptions!$C$34&lt;1,0,INDEX($B$19:$BI$19,1,J$4-Assumptions!$C$34))</f>
        <v>18513750</v>
      </c>
      <c r="K21" s="21" t="n">
        <f aca="false">IF(K$4-Assumptions!$C$34&lt;1,0,INDEX($B$19:$BI$19,1,K$4-Assumptions!$C$34))</f>
        <v>28392500</v>
      </c>
      <c r="L21" s="21" t="n">
        <f aca="false">IF(L$4-Assumptions!$C$34&lt;1,0,INDEX($B$19:$BI$19,1,L$4-Assumptions!$C$34))</f>
        <v>19992500</v>
      </c>
      <c r="M21" s="21" t="n">
        <f aca="false">IF(M$4-Assumptions!$C$34&lt;1,0,INDEX($B$19:$BI$19,1,M$4-Assumptions!$C$34))</f>
        <v>17391250</v>
      </c>
      <c r="N21" s="21" t="n">
        <f aca="false">IF(N$4-Assumptions!$C$34&lt;1,0,INDEX($B$19:$BI$19,1,N$4-Assumptions!$C$34))</f>
        <v>10912500</v>
      </c>
      <c r="O21" s="21" t="n">
        <f aca="false">IF(O$4-Assumptions!$C$34&lt;1,0,INDEX($B$19:$BI$19,1,O$4-Assumptions!$C$34))</f>
        <v>42587500</v>
      </c>
      <c r="P21" s="21" t="n">
        <f aca="false">IF(P$4-Assumptions!$C$34&lt;1,0,INDEX($B$19:$BI$19,1,P$4-Assumptions!$C$34))</f>
        <v>46227500</v>
      </c>
      <c r="Q21" s="21" t="n">
        <f aca="false">IF(Q$4-Assumptions!$C$34&lt;1,0,INDEX($B$19:$BI$19,1,Q$4-Assumptions!$C$34))</f>
        <v>42620000</v>
      </c>
      <c r="R21" s="21" t="n">
        <f aca="false">IF(R$4-Assumptions!$C$34&lt;1,0,INDEX($B$19:$BI$19,1,R$4-Assumptions!$C$34))</f>
        <v>43292500</v>
      </c>
      <c r="S21" s="21" t="n">
        <f aca="false">IF(S$4-Assumptions!$C$34&lt;1,0,INDEX($B$19:$BI$19,1,S$4-Assumptions!$C$34))</f>
        <v>45702500</v>
      </c>
      <c r="T21" s="21" t="n">
        <f aca="false">IF(T$4-Assumptions!$C$34&lt;1,0,INDEX($B$19:$BI$19,1,T$4-Assumptions!$C$34))</f>
        <v>43716250</v>
      </c>
      <c r="U21" s="21" t="n">
        <f aca="false">IF(U$4-Assumptions!$C$34&lt;1,0,INDEX($B$19:$BI$19,1,U$4-Assumptions!$C$34))</f>
        <v>53946250</v>
      </c>
      <c r="V21" s="21" t="n">
        <f aca="false">IF(V$4-Assumptions!$C$34&lt;1,0,INDEX($B$19:$BI$19,1,V$4-Assumptions!$C$34))</f>
        <v>40186250</v>
      </c>
      <c r="W21" s="21" t="n">
        <f aca="false">IF(W$4-Assumptions!$C$34&lt;1,0,INDEX($B$19:$BI$19,1,W$4-Assumptions!$C$34))</f>
        <v>60632500</v>
      </c>
      <c r="X21" s="21" t="n">
        <f aca="false">IF(X$4-Assumptions!$C$34&lt;1,0,INDEX($B$19:$BI$19,1,X$4-Assumptions!$C$34))</f>
        <v>45192500</v>
      </c>
      <c r="Y21" s="21" t="n">
        <f aca="false">IF(Y$4-Assumptions!$C$34&lt;1,0,INDEX($B$19:$BI$19,1,Y$4-Assumptions!$C$34))</f>
        <v>40753750</v>
      </c>
      <c r="Z21" s="21" t="n">
        <f aca="false">IF(Z$4-Assumptions!$C$34&lt;1,0,INDEX($B$19:$BI$19,1,Z$4-Assumptions!$C$34))</f>
        <v>27267500</v>
      </c>
      <c r="AA21" s="21" t="n">
        <f aca="false">IF(AA$4-Assumptions!$C$34&lt;1,0,INDEX($B$19:$BI$19,1,AA$4-Assumptions!$C$34))</f>
        <v>88887500</v>
      </c>
      <c r="AB21" s="21" t="n">
        <f aca="false">IF(AB$4-Assumptions!$C$34&lt;1,0,INDEX($B$19:$BI$19,1,AB$4-Assumptions!$C$34))</f>
        <v>90992500</v>
      </c>
      <c r="AC21" s="21" t="n">
        <f aca="false">IF(AC$4-Assumptions!$C$34&lt;1,0,INDEX($B$19:$BI$19,1,AC$4-Assumptions!$C$34))</f>
        <v>83982500</v>
      </c>
      <c r="AD21" s="21" t="n">
        <f aca="false">IF(AD$4-Assumptions!$C$34&lt;1,0,INDEX($B$19:$BI$19,1,AD$4-Assumptions!$C$34))</f>
        <v>85769500</v>
      </c>
      <c r="AE21" s="21" t="n">
        <f aca="false">IF(AE$4-Assumptions!$C$34&lt;1,0,INDEX($B$19:$BI$19,1,AE$4-Assumptions!$C$34))</f>
        <v>90509500</v>
      </c>
      <c r="AF21" s="21" t="n">
        <f aca="false">IF(AF$4-Assumptions!$C$34&lt;1,0,INDEX($B$19:$BI$19,1,AF$4-Assumptions!$C$34))</f>
        <v>86969250</v>
      </c>
      <c r="AG21" s="21" t="n">
        <f aca="false">IF(AG$4-Assumptions!$C$34&lt;1,0,INDEX($B$19:$BI$19,1,AG$4-Assumptions!$C$34))</f>
        <v>105233750</v>
      </c>
      <c r="AH21" s="21" t="n">
        <f aca="false">IF(AH$4-Assumptions!$C$34&lt;1,0,INDEX($B$19:$BI$19,1,AH$4-Assumptions!$C$34))</f>
        <v>79989250</v>
      </c>
      <c r="AI21" s="21" t="n">
        <f aca="false">IF(AI$4-Assumptions!$C$34&lt;1,0,INDEX($B$19:$BI$19,1,AI$4-Assumptions!$C$34))</f>
        <v>117409500</v>
      </c>
      <c r="AJ21" s="21" t="n">
        <f aca="false">IF(AJ$4-Assumptions!$C$34&lt;1,0,INDEX($B$19:$BI$19,1,AJ$4-Assumptions!$C$34))</f>
        <v>89726500</v>
      </c>
      <c r="AK21" s="21" t="n">
        <f aca="false">IF(AK$4-Assumptions!$C$34&lt;1,0,INDEX($B$19:$BI$19,1,AK$4-Assumptions!$C$34))</f>
        <v>82062750</v>
      </c>
      <c r="AL21" s="21" t="n">
        <f aca="false">IF(AL$4-Assumptions!$C$34&lt;1,0,INDEX($B$19:$BI$19,1,AL$4-Assumptions!$C$34))</f>
        <v>57442500</v>
      </c>
      <c r="AM21" s="21" t="n">
        <f aca="false">IF(AM$4-Assumptions!$C$34&lt;1,0,INDEX($B$19:$BI$19,1,AM$4-Assumptions!$C$34))</f>
        <v>158642000</v>
      </c>
      <c r="AN21" s="21" t="n">
        <f aca="false">IF(AN$4-Assumptions!$C$34&lt;1,0,INDEX($B$19:$BI$19,1,AN$4-Assumptions!$C$34))</f>
        <v>146889000</v>
      </c>
      <c r="AO21" s="21" t="n">
        <f aca="false">IF(AO$4-Assumptions!$C$34&lt;1,0,INDEX($B$19:$BI$19,1,AO$4-Assumptions!$C$34))</f>
        <v>142177500</v>
      </c>
      <c r="AP21" s="21" t="n">
        <f aca="false">IF(AP$4-Assumptions!$C$34&lt;1,0,INDEX($B$19:$BI$19,1,AP$4-Assumptions!$C$34))</f>
        <v>147733000</v>
      </c>
      <c r="AQ21" s="21" t="n">
        <f aca="false">IF(AQ$4-Assumptions!$C$34&lt;1,0,INDEX($B$19:$BI$19,1,AQ$4-Assumptions!$C$34))</f>
        <v>155569000</v>
      </c>
      <c r="AR21" s="21" t="n">
        <f aca="false">IF(AR$4-Assumptions!$C$34&lt;1,0,INDEX($B$19:$BI$19,1,AR$4-Assumptions!$C$34))</f>
        <v>151238000</v>
      </c>
      <c r="AS21" s="21" t="n">
        <f aca="false">IF(AS$4-Assumptions!$C$34&lt;1,0,INDEX($B$19:$BI$19,1,AS$4-Assumptions!$C$34))</f>
        <v>175425500</v>
      </c>
      <c r="AT21" s="21" t="n">
        <f aca="false">IF(AT$4-Assumptions!$C$34&lt;1,0,INDEX($B$19:$BI$19,1,AT$4-Assumptions!$C$34))</f>
        <v>138082000</v>
      </c>
      <c r="AU21" s="21" t="n">
        <f aca="false">IF(AU$4-Assumptions!$C$34&lt;1,0,INDEX($B$19:$BI$19,1,AU$4-Assumptions!$C$34))</f>
        <v>202199000</v>
      </c>
      <c r="AV21" s="21" t="n">
        <f aca="false">IF(AV$4-Assumptions!$C$34&lt;1,0,INDEX($B$19:$BI$19,1,AV$4-Assumptions!$C$34))</f>
        <v>155674000</v>
      </c>
      <c r="AW21" s="21" t="n">
        <f aca="false">IF(AW$4-Assumptions!$C$34&lt;1,0,INDEX($B$19:$BI$19,1,AW$4-Assumptions!$C$34))</f>
        <v>142958000</v>
      </c>
      <c r="AX21" s="21" t="n">
        <f aca="false">IF(AX$4-Assumptions!$C$34&lt;1,0,INDEX($B$19:$BI$19,1,AX$4-Assumptions!$C$34))</f>
        <v>101663000</v>
      </c>
      <c r="AY21" s="21" t="n">
        <f aca="false">IF(AY$4-Assumptions!$C$34&lt;1,0,INDEX($B$19:$BI$19,1,AY$4-Assumptions!$C$34))</f>
        <v>244175000</v>
      </c>
      <c r="AZ21" s="21" t="n">
        <f aca="false">IF(AZ$4-Assumptions!$C$34&lt;1,0,INDEX($B$19:$BI$19,1,AZ$4-Assumptions!$C$34))</f>
        <v>207445000</v>
      </c>
      <c r="BA21" s="21" t="n">
        <f aca="false">IF(BA$4-Assumptions!$C$34&lt;1,0,INDEX($B$19:$BI$19,1,BA$4-Assumptions!$C$34))</f>
        <v>204210000</v>
      </c>
      <c r="BB21" s="21" t="n">
        <f aca="false">IF(BB$4-Assumptions!$C$34&lt;1,0,INDEX($B$19:$BI$19,1,BB$4-Assumptions!$C$34))</f>
        <v>212935000</v>
      </c>
      <c r="BC21" s="21" t="n">
        <f aca="false">IF(BC$4-Assumptions!$C$34&lt;1,0,INDEX($B$19:$BI$19,1,BC$4-Assumptions!$C$34))</f>
        <v>224735000</v>
      </c>
      <c r="BD21" s="21" t="n">
        <f aca="false">IF(BD$4-Assumptions!$C$34&lt;1,0,INDEX($B$19:$BI$19,1,BD$4-Assumptions!$C$34))</f>
        <v>219872500</v>
      </c>
      <c r="BE21" s="21" t="n">
        <f aca="false">IF(BE$4-Assumptions!$C$34&lt;1,0,INDEX($B$19:$BI$19,1,BE$4-Assumptions!$C$34))</f>
        <v>251742500</v>
      </c>
      <c r="BF21" s="21" t="n">
        <f aca="false">IF(BF$4-Assumptions!$C$34&lt;1,0,INDEX($B$19:$BI$19,1,BF$4-Assumptions!$C$34))</f>
        <v>201272500</v>
      </c>
      <c r="BG21" s="21" t="n">
        <f aca="false">IF(BG$4-Assumptions!$C$34&lt;1,0,INDEX($B$19:$BI$19,1,BG$4-Assumptions!$C$34))</f>
        <v>295615000</v>
      </c>
      <c r="BH21" s="21" t="n">
        <f aca="false">IF(BH$4-Assumptions!$C$34&lt;1,0,INDEX($B$19:$BI$19,1,BH$4-Assumptions!$C$34))</f>
        <v>223515000</v>
      </c>
      <c r="BI21" s="21" t="n">
        <f aca="false">IF(BI$4-Assumptions!$C$34&lt;1,0,INDEX($B$19:$BI$19,1,BI$4-Assumptions!$C$34))</f>
        <v>206877500</v>
      </c>
    </row>
    <row r="22" customFormat="false" ht="15" hidden="false" customHeight="true" outlineLevel="0" collapsed="false">
      <c r="A22" s="5" t="s">
        <v>302</v>
      </c>
      <c r="B22" s="21" t="n">
        <f aca="false">-(INDEX(Costs!$C$5:$G$5,1,B$5)*INDEX(Assumptions!$B$43:$M$43,1,B$6)+INDEX(Costs!$C$6:$G$6,1,B$5)*INDEX(Assumptions!$B$44:$M$44,1,B$6)+INDEX(Costs!$C$7:$G$7,1,B$5)*INDEX(Assumptions!$B$47:$M$47,1,B$6)+INDEX(Costs!$C$8:$G$8,1,B$5)*INDEX(Assumptions!$B$48:$M$48,1,B$6)+INDEX(Costs!$C$9:$G$9,1,B$5)*INDEX(Assumptions!$B$45:$M$45,1,B$6))</f>
        <v>-536000</v>
      </c>
      <c r="C22" s="21" t="n">
        <f aca="false">-(INDEX(Costs!$C$5:$G$5,1,C$5)*INDEX(Assumptions!$B$43:$M$43,1,C$6)+INDEX(Costs!$C$6:$G$6,1,C$5)*INDEX(Assumptions!$B$44:$M$44,1,C$6)+INDEX(Costs!$C$7:$G$7,1,C$5)*INDEX(Assumptions!$B$47:$M$47,1,C$6)+INDEX(Costs!$C$8:$G$8,1,C$5)*INDEX(Assumptions!$B$48:$M$48,1,C$6)+INDEX(Costs!$C$9:$G$9,1,C$5)*INDEX(Assumptions!$B$45:$M$45,1,C$6))</f>
        <v>-1811000</v>
      </c>
      <c r="D22" s="21" t="n">
        <f aca="false">-(INDEX(Costs!$C$5:$G$5,1,D$5)*INDEX(Assumptions!$B$43:$M$43,1,D$6)+INDEX(Costs!$C$6:$G$6,1,D$5)*INDEX(Assumptions!$B$44:$M$44,1,D$6)+INDEX(Costs!$C$7:$G$7,1,D$5)*INDEX(Assumptions!$B$47:$M$47,1,D$6)+INDEX(Costs!$C$8:$G$8,1,D$5)*INDEX(Assumptions!$B$48:$M$48,1,D$6)+INDEX(Costs!$C$9:$G$9,1,D$5)*INDEX(Assumptions!$B$45:$M$45,1,D$6))</f>
        <v>-4724000</v>
      </c>
      <c r="E22" s="21" t="n">
        <f aca="false">-(INDEX(Costs!$C$5:$G$5,1,E$5)*INDEX(Assumptions!$B$43:$M$43,1,E$6)+INDEX(Costs!$C$6:$G$6,1,E$5)*INDEX(Assumptions!$B$44:$M$44,1,E$6)+INDEX(Costs!$C$7:$G$7,1,E$5)*INDEX(Assumptions!$B$47:$M$47,1,E$6)+INDEX(Costs!$C$8:$G$8,1,E$5)*INDEX(Assumptions!$B$48:$M$48,1,E$6)+INDEX(Costs!$C$9:$G$9,1,E$5)*INDEX(Assumptions!$B$45:$M$45,1,E$6))</f>
        <v>-5866000</v>
      </c>
      <c r="F22" s="21" t="n">
        <f aca="false">-(INDEX(Costs!$C$5:$G$5,1,F$5)*INDEX(Assumptions!$B$43:$M$43,1,F$6)+INDEX(Costs!$C$6:$G$6,1,F$5)*INDEX(Assumptions!$B$44:$M$44,1,F$6)+INDEX(Costs!$C$7:$G$7,1,F$5)*INDEX(Assumptions!$B$47:$M$47,1,F$6)+INDEX(Costs!$C$8:$G$8,1,F$5)*INDEX(Assumptions!$B$48:$M$48,1,F$6)+INDEX(Costs!$C$9:$G$9,1,F$5)*INDEX(Assumptions!$B$45:$M$45,1,F$6))</f>
        <v>-6415000</v>
      </c>
      <c r="G22" s="21" t="n">
        <f aca="false">-(INDEX(Costs!$C$5:$G$5,1,G$5)*INDEX(Assumptions!$B$43:$M$43,1,G$6)+INDEX(Costs!$C$6:$G$6,1,G$5)*INDEX(Assumptions!$B$44:$M$44,1,G$6)+INDEX(Costs!$C$7:$G$7,1,G$5)*INDEX(Assumptions!$B$47:$M$47,1,G$6)+INDEX(Costs!$C$8:$G$8,1,G$5)*INDEX(Assumptions!$B$48:$M$48,1,G$6)+INDEX(Costs!$C$9:$G$9,1,G$5)*INDEX(Assumptions!$B$45:$M$45,1,G$6))</f>
        <v>-6751000</v>
      </c>
      <c r="H22" s="21" t="n">
        <f aca="false">-(INDEX(Costs!$C$5:$G$5,1,H$5)*INDEX(Assumptions!$B$43:$M$43,1,H$6)+INDEX(Costs!$C$6:$G$6,1,H$5)*INDEX(Assumptions!$B$44:$M$44,1,H$6)+INDEX(Costs!$C$7:$G$7,1,H$5)*INDEX(Assumptions!$B$47:$M$47,1,H$6)+INDEX(Costs!$C$8:$G$8,1,H$5)*INDEX(Assumptions!$B$48:$M$48,1,H$6)+INDEX(Costs!$C$9:$G$9,1,H$5)*INDEX(Assumptions!$B$45:$M$45,1,H$6))</f>
        <v>-6684000</v>
      </c>
      <c r="I22" s="21" t="n">
        <f aca="false">-(INDEX(Costs!$C$5:$G$5,1,I$5)*INDEX(Assumptions!$B$43:$M$43,1,I$6)+INDEX(Costs!$C$6:$G$6,1,I$5)*INDEX(Assumptions!$B$44:$M$44,1,I$6)+INDEX(Costs!$C$7:$G$7,1,I$5)*INDEX(Assumptions!$B$47:$M$47,1,I$6)+INDEX(Costs!$C$8:$G$8,1,I$5)*INDEX(Assumptions!$B$48:$M$48,1,I$6)+INDEX(Costs!$C$9:$G$9,1,I$5)*INDEX(Assumptions!$B$45:$M$45,1,I$6))</f>
        <v>-5932000</v>
      </c>
      <c r="J22" s="21" t="n">
        <f aca="false">-(INDEX(Costs!$C$5:$G$5,1,J$5)*INDEX(Assumptions!$B$43:$M$43,1,J$6)+INDEX(Costs!$C$6:$G$6,1,J$5)*INDEX(Assumptions!$B$44:$M$44,1,J$6)+INDEX(Costs!$C$7:$G$7,1,J$5)*INDEX(Assumptions!$B$47:$M$47,1,J$6)+INDEX(Costs!$C$8:$G$8,1,J$5)*INDEX(Assumptions!$B$48:$M$48,1,J$6)+INDEX(Costs!$C$9:$G$9,1,J$5)*INDEX(Assumptions!$B$45:$M$45,1,J$6))</f>
        <v>-10845000</v>
      </c>
      <c r="K22" s="21" t="n">
        <f aca="false">-(INDEX(Costs!$C$5:$G$5,1,K$5)*INDEX(Assumptions!$B$43:$M$43,1,K$6)+INDEX(Costs!$C$6:$G$6,1,K$5)*INDEX(Assumptions!$B$44:$M$44,1,K$6)+INDEX(Costs!$C$7:$G$7,1,K$5)*INDEX(Assumptions!$B$47:$M$47,1,K$6)+INDEX(Costs!$C$8:$G$8,1,K$5)*INDEX(Assumptions!$B$48:$M$48,1,K$6)+INDEX(Costs!$C$9:$G$9,1,K$5)*INDEX(Assumptions!$B$45:$M$45,1,K$6))</f>
        <v>-6309000</v>
      </c>
      <c r="L22" s="21" t="n">
        <f aca="false">-(INDEX(Costs!$C$5:$G$5,1,L$5)*INDEX(Assumptions!$B$43:$M$43,1,L$6)+INDEX(Costs!$C$6:$G$6,1,L$5)*INDEX(Assumptions!$B$44:$M$44,1,L$6)+INDEX(Costs!$C$7:$G$7,1,L$5)*INDEX(Assumptions!$B$47:$M$47,1,L$6)+INDEX(Costs!$C$8:$G$8,1,L$5)*INDEX(Assumptions!$B$48:$M$48,1,L$6)+INDEX(Costs!$C$9:$G$9,1,L$5)*INDEX(Assumptions!$B$45:$M$45,1,L$6))</f>
        <v>-5167000</v>
      </c>
      <c r="M22" s="21" t="n">
        <f aca="false">-(INDEX(Costs!$C$5:$G$5,1,M$5)*INDEX(Assumptions!$B$43:$M$43,1,M$6)+INDEX(Costs!$C$6:$G$6,1,M$5)*INDEX(Assumptions!$B$44:$M$44,1,M$6)+INDEX(Costs!$C$7:$G$7,1,M$5)*INDEX(Assumptions!$B$47:$M$47,1,M$6)+INDEX(Costs!$C$8:$G$8,1,M$5)*INDEX(Assumptions!$B$48:$M$48,1,M$6)+INDEX(Costs!$C$9:$G$9,1,M$5)*INDEX(Assumptions!$B$45:$M$45,1,M$6))</f>
        <v>-2710000</v>
      </c>
      <c r="N22" s="21" t="n">
        <f aca="false">-(INDEX(Costs!$C$5:$G$5,1,N$5)*INDEX(Assumptions!$B$43:$M$43,1,N$6)+INDEX(Costs!$C$6:$G$6,1,N$5)*INDEX(Assumptions!$B$44:$M$44,1,N$6)+INDEX(Costs!$C$7:$G$7,1,N$5)*INDEX(Assumptions!$B$47:$M$47,1,N$6)+INDEX(Costs!$C$8:$G$8,1,N$5)*INDEX(Assumptions!$B$48:$M$48,1,N$6)+INDEX(Costs!$C$9:$G$9,1,N$5)*INDEX(Assumptions!$B$45:$M$45,1,N$6))</f>
        <v>-1098000</v>
      </c>
      <c r="O22" s="21" t="n">
        <f aca="false">-(INDEX(Costs!$C$5:$G$5,1,O$5)*INDEX(Assumptions!$B$43:$M$43,1,O$6)+INDEX(Costs!$C$6:$G$6,1,O$5)*INDEX(Assumptions!$B$44:$M$44,1,O$6)+INDEX(Costs!$C$7:$G$7,1,O$5)*INDEX(Assumptions!$B$47:$M$47,1,O$6)+INDEX(Costs!$C$8:$G$8,1,O$5)*INDEX(Assumptions!$B$48:$M$48,1,O$6)+INDEX(Costs!$C$9:$G$9,1,O$5)*INDEX(Assumptions!$B$45:$M$45,1,O$6))</f>
        <v>-3459000</v>
      </c>
      <c r="P22" s="21" t="n">
        <f aca="false">-(INDEX(Costs!$C$5:$G$5,1,P$5)*INDEX(Assumptions!$B$43:$M$43,1,P$6)+INDEX(Costs!$C$6:$G$6,1,P$5)*INDEX(Assumptions!$B$44:$M$44,1,P$6)+INDEX(Costs!$C$7:$G$7,1,P$5)*INDEX(Assumptions!$B$47:$M$47,1,P$6)+INDEX(Costs!$C$8:$G$8,1,P$5)*INDEX(Assumptions!$B$48:$M$48,1,P$6)+INDEX(Costs!$C$9:$G$9,1,P$5)*INDEX(Assumptions!$B$45:$M$45,1,P$6))</f>
        <v>-9144600</v>
      </c>
      <c r="Q22" s="21" t="n">
        <f aca="false">-(INDEX(Costs!$C$5:$G$5,1,Q$5)*INDEX(Assumptions!$B$43:$M$43,1,Q$6)+INDEX(Costs!$C$6:$G$6,1,Q$5)*INDEX(Assumptions!$B$44:$M$44,1,Q$6)+INDEX(Costs!$C$7:$G$7,1,Q$5)*INDEX(Assumptions!$B$47:$M$47,1,Q$6)+INDEX(Costs!$C$8:$G$8,1,Q$5)*INDEX(Assumptions!$B$48:$M$48,1,Q$6)+INDEX(Costs!$C$9:$G$9,1,Q$5)*INDEX(Assumptions!$B$45:$M$45,1,Q$6))</f>
        <v>-11649600</v>
      </c>
      <c r="R22" s="21" t="n">
        <f aca="false">-(INDEX(Costs!$C$5:$G$5,1,R$5)*INDEX(Assumptions!$B$43:$M$43,1,R$6)+INDEX(Costs!$C$6:$G$6,1,R$5)*INDEX(Assumptions!$B$44:$M$44,1,R$6)+INDEX(Costs!$C$7:$G$7,1,R$5)*INDEX(Assumptions!$B$47:$M$47,1,R$6)+INDEX(Costs!$C$8:$G$8,1,R$5)*INDEX(Assumptions!$B$48:$M$48,1,R$6)+INDEX(Costs!$C$9:$G$9,1,R$5)*INDEX(Assumptions!$B$45:$M$45,1,R$6))</f>
        <v>-12671400</v>
      </c>
      <c r="S22" s="21" t="n">
        <f aca="false">-(INDEX(Costs!$C$5:$G$5,1,S$5)*INDEX(Assumptions!$B$43:$M$43,1,S$6)+INDEX(Costs!$C$6:$G$6,1,S$5)*INDEX(Assumptions!$B$44:$M$44,1,S$6)+INDEX(Costs!$C$7:$G$7,1,S$5)*INDEX(Assumptions!$B$47:$M$47,1,S$6)+INDEX(Costs!$C$8:$G$8,1,S$5)*INDEX(Assumptions!$B$48:$M$48,1,S$6)+INDEX(Costs!$C$9:$G$9,1,S$5)*INDEX(Assumptions!$B$45:$M$45,1,S$6))</f>
        <v>-12923400</v>
      </c>
      <c r="T22" s="21" t="n">
        <f aca="false">-(INDEX(Costs!$C$5:$G$5,1,T$5)*INDEX(Assumptions!$B$43:$M$43,1,T$6)+INDEX(Costs!$C$6:$G$6,1,T$5)*INDEX(Assumptions!$B$44:$M$44,1,T$6)+INDEX(Costs!$C$7:$G$7,1,T$5)*INDEX(Assumptions!$B$47:$M$47,1,T$6)+INDEX(Costs!$C$8:$G$8,1,T$5)*INDEX(Assumptions!$B$48:$M$48,1,T$6)+INDEX(Costs!$C$9:$G$9,1,T$5)*INDEX(Assumptions!$B$45:$M$45,1,T$6))</f>
        <v>-12437400</v>
      </c>
      <c r="U22" s="21" t="n">
        <f aca="false">-(INDEX(Costs!$C$5:$G$5,1,U$5)*INDEX(Assumptions!$B$43:$M$43,1,U$6)+INDEX(Costs!$C$6:$G$6,1,U$5)*INDEX(Assumptions!$B$44:$M$44,1,U$6)+INDEX(Costs!$C$7:$G$7,1,U$5)*INDEX(Assumptions!$B$47:$M$47,1,U$6)+INDEX(Costs!$C$8:$G$8,1,U$5)*INDEX(Assumptions!$B$48:$M$48,1,U$6)+INDEX(Costs!$C$9:$G$9,1,U$5)*INDEX(Assumptions!$B$45:$M$45,1,U$6))</f>
        <v>-11397600</v>
      </c>
      <c r="V22" s="21" t="n">
        <f aca="false">-(INDEX(Costs!$C$5:$G$5,1,V$5)*INDEX(Assumptions!$B$43:$M$43,1,V$6)+INDEX(Costs!$C$6:$G$6,1,V$5)*INDEX(Assumptions!$B$44:$M$44,1,V$6)+INDEX(Costs!$C$7:$G$7,1,V$5)*INDEX(Assumptions!$B$47:$M$47,1,V$6)+INDEX(Costs!$C$8:$G$8,1,V$5)*INDEX(Assumptions!$B$48:$M$48,1,V$6)+INDEX(Costs!$C$9:$G$9,1,V$5)*INDEX(Assumptions!$B$45:$M$45,1,V$6))</f>
        <v>-20423400</v>
      </c>
      <c r="W22" s="21" t="n">
        <f aca="false">-(INDEX(Costs!$C$5:$G$5,1,W$5)*INDEX(Assumptions!$B$43:$M$43,1,W$6)+INDEX(Costs!$C$6:$G$6,1,W$5)*INDEX(Assumptions!$B$44:$M$44,1,W$6)+INDEX(Costs!$C$7:$G$7,1,W$5)*INDEX(Assumptions!$B$47:$M$47,1,W$6)+INDEX(Costs!$C$8:$G$8,1,W$5)*INDEX(Assumptions!$B$48:$M$48,1,W$6)+INDEX(Costs!$C$9:$G$9,1,W$5)*INDEX(Assumptions!$B$45:$M$45,1,W$6))</f>
        <v>-12687000</v>
      </c>
      <c r="X22" s="21" t="n">
        <f aca="false">-(INDEX(Costs!$C$5:$G$5,1,X$5)*INDEX(Assumptions!$B$43:$M$43,1,X$6)+INDEX(Costs!$C$6:$G$6,1,X$5)*INDEX(Assumptions!$B$44:$M$44,1,X$6)+INDEX(Costs!$C$7:$G$7,1,X$5)*INDEX(Assumptions!$B$47:$M$47,1,X$6)+INDEX(Costs!$C$8:$G$8,1,X$5)*INDEX(Assumptions!$B$48:$M$48,1,X$6)+INDEX(Costs!$C$9:$G$9,1,X$5)*INDEX(Assumptions!$B$45:$M$45,1,X$6))</f>
        <v>-10623000</v>
      </c>
      <c r="Y22" s="21" t="n">
        <f aca="false">-(INDEX(Costs!$C$5:$G$5,1,Y$5)*INDEX(Assumptions!$B$43:$M$43,1,Y$6)+INDEX(Costs!$C$6:$G$6,1,Y$5)*INDEX(Assumptions!$B$44:$M$44,1,Y$6)+INDEX(Costs!$C$7:$G$7,1,Y$5)*INDEX(Assumptions!$B$47:$M$47,1,Y$6)+INDEX(Costs!$C$8:$G$8,1,Y$5)*INDEX(Assumptions!$B$48:$M$48,1,Y$6)+INDEX(Costs!$C$9:$G$9,1,Y$5)*INDEX(Assumptions!$B$45:$M$45,1,Y$6))</f>
        <v>-5835600</v>
      </c>
      <c r="Z22" s="21" t="n">
        <f aca="false">-(INDEX(Costs!$C$5:$G$5,1,Z$5)*INDEX(Assumptions!$B$43:$M$43,1,Z$6)+INDEX(Costs!$C$6:$G$6,1,Z$5)*INDEX(Assumptions!$B$44:$M$44,1,Z$6)+INDEX(Costs!$C$7:$G$7,1,Z$5)*INDEX(Assumptions!$B$47:$M$47,1,Z$6)+INDEX(Costs!$C$8:$G$8,1,Z$5)*INDEX(Assumptions!$B$48:$M$48,1,Z$6)+INDEX(Costs!$C$9:$G$9,1,Z$5)*INDEX(Assumptions!$B$45:$M$45,1,Z$6))</f>
        <v>-2250400</v>
      </c>
      <c r="AA22" s="21" t="n">
        <f aca="false">-(INDEX(Costs!$C$5:$G$5,1,AA$5)*INDEX(Assumptions!$B$43:$M$43,1,AA$6)+INDEX(Costs!$C$6:$G$6,1,AA$5)*INDEX(Assumptions!$B$44:$M$44,1,AA$6)+INDEX(Costs!$C$7:$G$7,1,AA$5)*INDEX(Assumptions!$B$47:$M$47,1,AA$6)+INDEX(Costs!$C$8:$G$8,1,AA$5)*INDEX(Assumptions!$B$48:$M$48,1,AA$6)+INDEX(Costs!$C$9:$G$9,1,AA$5)*INDEX(Assumptions!$B$45:$M$45,1,AA$6))</f>
        <v>-6361800</v>
      </c>
      <c r="AB22" s="21" t="n">
        <f aca="false">-(INDEX(Costs!$C$5:$G$5,1,AB$5)*INDEX(Assumptions!$B$43:$M$43,1,AB$6)+INDEX(Costs!$C$6:$G$6,1,AB$5)*INDEX(Assumptions!$B$44:$M$44,1,AB$6)+INDEX(Costs!$C$7:$G$7,1,AB$5)*INDEX(Assumptions!$B$47:$M$47,1,AB$6)+INDEX(Costs!$C$8:$G$8,1,AB$5)*INDEX(Assumptions!$B$48:$M$48,1,AB$6)+INDEX(Costs!$C$9:$G$9,1,AB$5)*INDEX(Assumptions!$B$45:$M$45,1,AB$6))</f>
        <v>-16011750</v>
      </c>
      <c r="AC22" s="21" t="n">
        <f aca="false">-(INDEX(Costs!$C$5:$G$5,1,AC$5)*INDEX(Assumptions!$B$43:$M$43,1,AC$6)+INDEX(Costs!$C$6:$G$6,1,AC$5)*INDEX(Assumptions!$B$44:$M$44,1,AC$6)+INDEX(Costs!$C$7:$G$7,1,AC$5)*INDEX(Assumptions!$B$47:$M$47,1,AC$6)+INDEX(Costs!$C$8:$G$8,1,AC$5)*INDEX(Assumptions!$B$48:$M$48,1,AC$6)+INDEX(Costs!$C$9:$G$9,1,AC$5)*INDEX(Assumptions!$B$45:$M$45,1,AC$6))</f>
        <v>-20495600</v>
      </c>
      <c r="AD22" s="21" t="n">
        <f aca="false">-(INDEX(Costs!$C$5:$G$5,1,AD$5)*INDEX(Assumptions!$B$43:$M$43,1,AD$6)+INDEX(Costs!$C$6:$G$6,1,AD$5)*INDEX(Assumptions!$B$44:$M$44,1,AD$6)+INDEX(Costs!$C$7:$G$7,1,AD$5)*INDEX(Assumptions!$B$47:$M$47,1,AD$6)+INDEX(Costs!$C$8:$G$8,1,AD$5)*INDEX(Assumptions!$B$48:$M$48,1,AD$6)+INDEX(Costs!$C$9:$G$9,1,AD$5)*INDEX(Assumptions!$B$45:$M$45,1,AD$6))</f>
        <v>-22343000</v>
      </c>
      <c r="AE22" s="21" t="n">
        <f aca="false">-(INDEX(Costs!$C$5:$G$5,1,AE$5)*INDEX(Assumptions!$B$43:$M$43,1,AE$6)+INDEX(Costs!$C$6:$G$6,1,AE$5)*INDEX(Assumptions!$B$44:$M$44,1,AE$6)+INDEX(Costs!$C$7:$G$7,1,AE$5)*INDEX(Assumptions!$B$47:$M$47,1,AE$6)+INDEX(Costs!$C$8:$G$8,1,AE$5)*INDEX(Assumptions!$B$48:$M$48,1,AE$6)+INDEX(Costs!$C$9:$G$9,1,AE$5)*INDEX(Assumptions!$B$45:$M$45,1,AE$6))</f>
        <v>-22857000</v>
      </c>
      <c r="AF22" s="21" t="n">
        <f aca="false">-(INDEX(Costs!$C$5:$G$5,1,AF$5)*INDEX(Assumptions!$B$43:$M$43,1,AF$6)+INDEX(Costs!$C$6:$G$6,1,AF$5)*INDEX(Assumptions!$B$44:$M$44,1,AF$6)+INDEX(Costs!$C$7:$G$7,1,AF$5)*INDEX(Assumptions!$B$47:$M$47,1,AF$6)+INDEX(Costs!$C$8:$G$8,1,AF$5)*INDEX(Assumptions!$B$48:$M$48,1,AF$6)+INDEX(Costs!$C$9:$G$9,1,AF$5)*INDEX(Assumptions!$B$45:$M$45,1,AF$6))</f>
        <v>-21896550</v>
      </c>
      <c r="AG22" s="21" t="n">
        <f aca="false">-(INDEX(Costs!$C$5:$G$5,1,AG$5)*INDEX(Assumptions!$B$43:$M$43,1,AG$6)+INDEX(Costs!$C$6:$G$6,1,AG$5)*INDEX(Assumptions!$B$44:$M$44,1,AG$6)+INDEX(Costs!$C$7:$G$7,1,AG$5)*INDEX(Assumptions!$B$47:$M$47,1,AG$6)+INDEX(Costs!$C$8:$G$8,1,AG$5)*INDEX(Assumptions!$B$48:$M$48,1,AG$6)+INDEX(Costs!$C$9:$G$9,1,AG$5)*INDEX(Assumptions!$B$45:$M$45,1,AG$6))</f>
        <v>-20024000</v>
      </c>
      <c r="AH22" s="21" t="n">
        <f aca="false">-(INDEX(Costs!$C$5:$G$5,1,AH$5)*INDEX(Assumptions!$B$43:$M$43,1,AH$6)+INDEX(Costs!$C$6:$G$6,1,AH$5)*INDEX(Assumptions!$B$44:$M$44,1,AH$6)+INDEX(Costs!$C$7:$G$7,1,AH$5)*INDEX(Assumptions!$B$47:$M$47,1,AH$6)+INDEX(Costs!$C$8:$G$8,1,AH$5)*INDEX(Assumptions!$B$48:$M$48,1,AH$6)+INDEX(Costs!$C$9:$G$9,1,AH$5)*INDEX(Assumptions!$B$45:$M$45,1,AH$6))</f>
        <v>-35478600</v>
      </c>
      <c r="AI22" s="21" t="n">
        <f aca="false">-(INDEX(Costs!$C$5:$G$5,1,AI$5)*INDEX(Assumptions!$B$43:$M$43,1,AI$6)+INDEX(Costs!$C$6:$G$6,1,AI$5)*INDEX(Assumptions!$B$44:$M$44,1,AI$6)+INDEX(Costs!$C$7:$G$7,1,AI$5)*INDEX(Assumptions!$B$47:$M$47,1,AI$6)+INDEX(Costs!$C$8:$G$8,1,AI$5)*INDEX(Assumptions!$B$48:$M$48,1,AI$6)+INDEX(Costs!$C$9:$G$9,1,AI$5)*INDEX(Assumptions!$B$45:$M$45,1,AI$6))</f>
        <v>-22464100</v>
      </c>
      <c r="AJ22" s="21" t="n">
        <f aca="false">-(INDEX(Costs!$C$5:$G$5,1,AJ$5)*INDEX(Assumptions!$B$43:$M$43,1,AJ$6)+INDEX(Costs!$C$6:$G$6,1,AJ$5)*INDEX(Assumptions!$B$44:$M$44,1,AJ$6)+INDEX(Costs!$C$7:$G$7,1,AJ$5)*INDEX(Assumptions!$B$47:$M$47,1,AJ$6)+INDEX(Costs!$C$8:$G$8,1,AJ$5)*INDEX(Assumptions!$B$48:$M$48,1,AJ$6)+INDEX(Costs!$C$9:$G$9,1,AJ$5)*INDEX(Assumptions!$B$45:$M$45,1,AJ$6))</f>
        <v>-18985100</v>
      </c>
      <c r="AK22" s="21" t="n">
        <f aca="false">-(INDEX(Costs!$C$5:$G$5,1,AK$5)*INDEX(Assumptions!$B$43:$M$43,1,AK$6)+INDEX(Costs!$C$6:$G$6,1,AK$5)*INDEX(Assumptions!$B$44:$M$44,1,AK$6)+INDEX(Costs!$C$7:$G$7,1,AK$5)*INDEX(Assumptions!$B$47:$M$47,1,AK$6)+INDEX(Costs!$C$8:$G$8,1,AK$5)*INDEX(Assumptions!$B$48:$M$48,1,AK$6)+INDEX(Costs!$C$9:$G$9,1,AK$5)*INDEX(Assumptions!$B$45:$M$45,1,AK$6))</f>
        <v>-10757100</v>
      </c>
      <c r="AL22" s="21" t="n">
        <f aca="false">-(INDEX(Costs!$C$5:$G$5,1,AL$5)*INDEX(Assumptions!$B$43:$M$43,1,AL$6)+INDEX(Costs!$C$6:$G$6,1,AL$5)*INDEX(Assumptions!$B$44:$M$44,1,AL$6)+INDEX(Costs!$C$7:$G$7,1,AL$5)*INDEX(Assumptions!$B$47:$M$47,1,AL$6)+INDEX(Costs!$C$8:$G$8,1,AL$5)*INDEX(Assumptions!$B$48:$M$48,1,AL$6)+INDEX(Costs!$C$9:$G$9,1,AL$5)*INDEX(Assumptions!$B$45:$M$45,1,AL$6))</f>
        <v>-4315600</v>
      </c>
      <c r="AM22" s="21" t="n">
        <f aca="false">-(INDEX(Costs!$C$5:$G$5,1,AM$5)*INDEX(Assumptions!$B$43:$M$43,1,AM$6)+INDEX(Costs!$C$6:$G$6,1,AM$5)*INDEX(Assumptions!$B$44:$M$44,1,AM$6)+INDEX(Costs!$C$7:$G$7,1,AM$5)*INDEX(Assumptions!$B$47:$M$47,1,AM$6)+INDEX(Costs!$C$8:$G$8,1,AM$5)*INDEX(Assumptions!$B$48:$M$48,1,AM$6)+INDEX(Costs!$C$9:$G$9,1,AM$5)*INDEX(Assumptions!$B$45:$M$45,1,AM$6))</f>
        <v>-11222880</v>
      </c>
      <c r="AN22" s="21" t="n">
        <f aca="false">-(INDEX(Costs!$C$5:$G$5,1,AN$5)*INDEX(Assumptions!$B$43:$M$43,1,AN$6)+INDEX(Costs!$C$6:$G$6,1,AN$5)*INDEX(Assumptions!$B$44:$M$44,1,AN$6)+INDEX(Costs!$C$7:$G$7,1,AN$5)*INDEX(Assumptions!$B$47:$M$47,1,AN$6)+INDEX(Costs!$C$8:$G$8,1,AN$5)*INDEX(Assumptions!$B$48:$M$48,1,AN$6)+INDEX(Costs!$C$9:$G$9,1,AN$5)*INDEX(Assumptions!$B$45:$M$45,1,AN$6))</f>
        <v>-26765460</v>
      </c>
      <c r="AO22" s="21" t="n">
        <f aca="false">-(INDEX(Costs!$C$5:$G$5,1,AO$5)*INDEX(Assumptions!$B$43:$M$43,1,AO$6)+INDEX(Costs!$C$6:$G$6,1,AO$5)*INDEX(Assumptions!$B$44:$M$44,1,AO$6)+INDEX(Costs!$C$7:$G$7,1,AO$5)*INDEX(Assumptions!$B$47:$M$47,1,AO$6)+INDEX(Costs!$C$8:$G$8,1,AO$5)*INDEX(Assumptions!$B$48:$M$48,1,AO$6)+INDEX(Costs!$C$9:$G$9,1,AO$5)*INDEX(Assumptions!$B$45:$M$45,1,AO$6))</f>
        <v>-34449200</v>
      </c>
      <c r="AP22" s="21" t="n">
        <f aca="false">-(INDEX(Costs!$C$5:$G$5,1,AP$5)*INDEX(Assumptions!$B$43:$M$43,1,AP$6)+INDEX(Costs!$C$6:$G$6,1,AP$5)*INDEX(Assumptions!$B$44:$M$44,1,AP$6)+INDEX(Costs!$C$7:$G$7,1,AP$5)*INDEX(Assumptions!$B$47:$M$47,1,AP$6)+INDEX(Costs!$C$8:$G$8,1,AP$5)*INDEX(Assumptions!$B$48:$M$48,1,AP$6)+INDEX(Costs!$C$9:$G$9,1,AP$5)*INDEX(Assumptions!$B$45:$M$45,1,AP$6))</f>
        <v>-37379280</v>
      </c>
      <c r="AQ22" s="21" t="n">
        <f aca="false">-(INDEX(Costs!$C$5:$G$5,1,AQ$5)*INDEX(Assumptions!$B$43:$M$43,1,AQ$6)+INDEX(Costs!$C$6:$G$6,1,AQ$5)*INDEX(Assumptions!$B$44:$M$44,1,AQ$6)+INDEX(Costs!$C$7:$G$7,1,AQ$5)*INDEX(Assumptions!$B$47:$M$47,1,AQ$6)+INDEX(Costs!$C$8:$G$8,1,AQ$5)*INDEX(Assumptions!$B$48:$M$48,1,AQ$6)+INDEX(Costs!$C$9:$G$9,1,AQ$5)*INDEX(Assumptions!$B$45:$M$45,1,AQ$6))</f>
        <v>-38725200</v>
      </c>
      <c r="AR22" s="21" t="n">
        <f aca="false">-(INDEX(Costs!$C$5:$G$5,1,AR$5)*INDEX(Assumptions!$B$43:$M$43,1,AR$6)+INDEX(Costs!$C$6:$G$6,1,AR$5)*INDEX(Assumptions!$B$44:$M$44,1,AR$6)+INDEX(Costs!$C$7:$G$7,1,AR$5)*INDEX(Assumptions!$B$47:$M$47,1,AR$6)+INDEX(Costs!$C$8:$G$8,1,AR$5)*INDEX(Assumptions!$B$48:$M$48,1,AR$6)+INDEX(Costs!$C$9:$G$9,1,AR$5)*INDEX(Assumptions!$B$45:$M$45,1,AR$6))</f>
        <v>-37025300</v>
      </c>
      <c r="AS22" s="21" t="n">
        <f aca="false">-(INDEX(Costs!$C$5:$G$5,1,AS$5)*INDEX(Assumptions!$B$43:$M$43,1,AS$6)+INDEX(Costs!$C$6:$G$6,1,AS$5)*INDEX(Assumptions!$B$44:$M$44,1,AS$6)+INDEX(Costs!$C$7:$G$7,1,AS$5)*INDEX(Assumptions!$B$47:$M$47,1,AS$6)+INDEX(Costs!$C$8:$G$8,1,AS$5)*INDEX(Assumptions!$B$48:$M$48,1,AS$6)+INDEX(Costs!$C$9:$G$9,1,AS$5)*INDEX(Assumptions!$B$45:$M$45,1,AS$6))</f>
        <v>-33507520</v>
      </c>
      <c r="AT22" s="21" t="n">
        <f aca="false">-(INDEX(Costs!$C$5:$G$5,1,AT$5)*INDEX(Assumptions!$B$43:$M$43,1,AT$6)+INDEX(Costs!$C$6:$G$6,1,AT$5)*INDEX(Assumptions!$B$44:$M$44,1,AT$6)+INDEX(Costs!$C$7:$G$7,1,AT$5)*INDEX(Assumptions!$B$47:$M$47,1,AT$6)+INDEX(Costs!$C$8:$G$8,1,AT$5)*INDEX(Assumptions!$B$48:$M$48,1,AT$6)+INDEX(Costs!$C$9:$G$9,1,AT$5)*INDEX(Assumptions!$B$45:$M$45,1,AT$6))</f>
        <v>-58827680</v>
      </c>
      <c r="AU22" s="21" t="n">
        <f aca="false">-(INDEX(Costs!$C$5:$G$5,1,AU$5)*INDEX(Assumptions!$B$43:$M$43,1,AU$6)+INDEX(Costs!$C$6:$G$6,1,AU$5)*INDEX(Assumptions!$B$44:$M$44,1,AU$6)+INDEX(Costs!$C$7:$G$7,1,AU$5)*INDEX(Assumptions!$B$47:$M$47,1,AU$6)+INDEX(Costs!$C$8:$G$8,1,AU$5)*INDEX(Assumptions!$B$48:$M$48,1,AU$6)+INDEX(Costs!$C$9:$G$9,1,AU$5)*INDEX(Assumptions!$B$45:$M$45,1,AU$6))</f>
        <v>-38035880</v>
      </c>
      <c r="AV22" s="21" t="n">
        <f aca="false">-(INDEX(Costs!$C$5:$G$5,1,AV$5)*INDEX(Assumptions!$B$43:$M$43,1,AV$6)+INDEX(Costs!$C$6:$G$6,1,AV$5)*INDEX(Assumptions!$B$44:$M$44,1,AV$6)+INDEX(Costs!$C$7:$G$7,1,AV$5)*INDEX(Assumptions!$B$47:$M$47,1,AV$6)+INDEX(Costs!$C$8:$G$8,1,AV$5)*INDEX(Assumptions!$B$48:$M$48,1,AV$6)+INDEX(Costs!$C$9:$G$9,1,AV$5)*INDEX(Assumptions!$B$45:$M$45,1,AV$6))</f>
        <v>-32142600</v>
      </c>
      <c r="AW22" s="21" t="n">
        <f aca="false">-(INDEX(Costs!$C$5:$G$5,1,AW$5)*INDEX(Assumptions!$B$43:$M$43,1,AW$6)+INDEX(Costs!$C$6:$G$6,1,AW$5)*INDEX(Assumptions!$B$44:$M$44,1,AW$6)+INDEX(Costs!$C$7:$G$7,1,AW$5)*INDEX(Assumptions!$B$47:$M$47,1,AW$6)+INDEX(Costs!$C$8:$G$8,1,AW$5)*INDEX(Assumptions!$B$48:$M$48,1,AW$6)+INDEX(Costs!$C$9:$G$9,1,AW$5)*INDEX(Assumptions!$B$45:$M$45,1,AW$6))</f>
        <v>-18545400</v>
      </c>
      <c r="AX22" s="21" t="n">
        <f aca="false">-(INDEX(Costs!$C$5:$G$5,1,AX$5)*INDEX(Assumptions!$B$43:$M$43,1,AX$6)+INDEX(Costs!$C$6:$G$6,1,AX$5)*INDEX(Assumptions!$B$44:$M$44,1,AX$6)+INDEX(Costs!$C$7:$G$7,1,AX$5)*INDEX(Assumptions!$B$47:$M$47,1,AX$6)+INDEX(Costs!$C$8:$G$8,1,AX$5)*INDEX(Assumptions!$B$48:$M$48,1,AX$6)+INDEX(Costs!$C$9:$G$9,1,AX$5)*INDEX(Assumptions!$B$45:$M$45,1,AX$6))</f>
        <v>-5844000</v>
      </c>
      <c r="AY22" s="21" t="n">
        <f aca="false">-(INDEX(Costs!$C$5:$G$5,1,AY$5)*INDEX(Assumptions!$B$43:$M$43,1,AY$6)+INDEX(Costs!$C$6:$G$6,1,AY$5)*INDEX(Assumptions!$B$44:$M$44,1,AY$6)+INDEX(Costs!$C$7:$G$7,1,AY$5)*INDEX(Assumptions!$B$47:$M$47,1,AY$6)+INDEX(Costs!$C$8:$G$8,1,AY$5)*INDEX(Assumptions!$B$48:$M$48,1,AY$6)+INDEX(Costs!$C$9:$G$9,1,AY$5)*INDEX(Assumptions!$B$45:$M$45,1,AY$6))</f>
        <v>-15234400</v>
      </c>
      <c r="AZ22" s="21" t="n">
        <f aca="false">-(INDEX(Costs!$C$5:$G$5,1,AZ$5)*INDEX(Assumptions!$B$43:$M$43,1,AZ$6)+INDEX(Costs!$C$6:$G$6,1,AZ$5)*INDEX(Assumptions!$B$44:$M$44,1,AZ$6)+INDEX(Costs!$C$7:$G$7,1,AZ$5)*INDEX(Assumptions!$B$47:$M$47,1,AZ$6)+INDEX(Costs!$C$8:$G$8,1,AZ$5)*INDEX(Assumptions!$B$48:$M$48,1,AZ$6)+INDEX(Costs!$C$9:$G$9,1,AZ$5)*INDEX(Assumptions!$B$45:$M$45,1,AZ$6))</f>
        <v>-35919800</v>
      </c>
      <c r="BA22" s="21" t="n">
        <f aca="false">-(INDEX(Costs!$C$5:$G$5,1,BA$5)*INDEX(Assumptions!$B$43:$M$43,1,BA$6)+INDEX(Costs!$C$6:$G$6,1,BA$5)*INDEX(Assumptions!$B$44:$M$44,1,BA$6)+INDEX(Costs!$C$7:$G$7,1,BA$5)*INDEX(Assumptions!$B$47:$M$47,1,BA$6)+INDEX(Costs!$C$8:$G$8,1,BA$5)*INDEX(Assumptions!$B$48:$M$48,1,BA$6)+INDEX(Costs!$C$9:$G$9,1,BA$5)*INDEX(Assumptions!$B$45:$M$45,1,BA$6))</f>
        <v>-46491600</v>
      </c>
      <c r="BB22" s="21" t="n">
        <f aca="false">-(INDEX(Costs!$C$5:$G$5,1,BB$5)*INDEX(Assumptions!$B$43:$M$43,1,BB$6)+INDEX(Costs!$C$6:$G$6,1,BB$5)*INDEX(Assumptions!$B$44:$M$44,1,BB$6)+INDEX(Costs!$C$7:$G$7,1,BB$5)*INDEX(Assumptions!$B$47:$M$47,1,BB$6)+INDEX(Costs!$C$8:$G$8,1,BB$5)*INDEX(Assumptions!$B$48:$M$48,1,BB$6)+INDEX(Costs!$C$9:$G$9,1,BB$5)*INDEX(Assumptions!$B$45:$M$45,1,BB$6))</f>
        <v>-50850000</v>
      </c>
      <c r="BC22" s="21" t="n">
        <f aca="false">-(INDEX(Costs!$C$5:$G$5,1,BC$5)*INDEX(Assumptions!$B$43:$M$43,1,BC$6)+INDEX(Costs!$C$6:$G$6,1,BC$5)*INDEX(Assumptions!$B$44:$M$44,1,BC$6)+INDEX(Costs!$C$7:$G$7,1,BC$5)*INDEX(Assumptions!$B$47:$M$47,1,BC$6)+INDEX(Costs!$C$8:$G$8,1,BC$5)*INDEX(Assumptions!$B$48:$M$48,1,BC$6)+INDEX(Costs!$C$9:$G$9,1,BC$5)*INDEX(Assumptions!$B$45:$M$45,1,BC$6))</f>
        <v>-53562400</v>
      </c>
      <c r="BD22" s="21" t="n">
        <f aca="false">-(INDEX(Costs!$C$5:$G$5,1,BD$5)*INDEX(Assumptions!$B$43:$M$43,1,BD$6)+INDEX(Costs!$C$6:$G$6,1,BD$5)*INDEX(Assumptions!$B$44:$M$44,1,BD$6)+INDEX(Costs!$C$7:$G$7,1,BD$5)*INDEX(Assumptions!$B$47:$M$47,1,BD$6)+INDEX(Costs!$C$8:$G$8,1,BD$5)*INDEX(Assumptions!$B$48:$M$48,1,BD$6)+INDEX(Costs!$C$9:$G$9,1,BD$5)*INDEX(Assumptions!$B$45:$M$45,1,BD$6))</f>
        <v>-52307000</v>
      </c>
      <c r="BE22" s="21" t="n">
        <f aca="false">-(INDEX(Costs!$C$5:$G$5,1,BE$5)*INDEX(Assumptions!$B$43:$M$43,1,BE$6)+INDEX(Costs!$C$6:$G$6,1,BE$5)*INDEX(Assumptions!$B$44:$M$44,1,BE$6)+INDEX(Costs!$C$7:$G$7,1,BE$5)*INDEX(Assumptions!$B$47:$M$47,1,BE$6)+INDEX(Costs!$C$8:$G$8,1,BE$5)*INDEX(Assumptions!$B$48:$M$48,1,BE$6)+INDEX(Costs!$C$9:$G$9,1,BE$5)*INDEX(Assumptions!$B$45:$M$45,1,BE$6))</f>
        <v>-46348000</v>
      </c>
      <c r="BF22" s="21" t="n">
        <f aca="false">-(INDEX(Costs!$C$5:$G$5,1,BF$5)*INDEX(Assumptions!$B$43:$M$43,1,BF$6)+INDEX(Costs!$C$6:$G$6,1,BF$5)*INDEX(Assumptions!$B$44:$M$44,1,BF$6)+INDEX(Costs!$C$7:$G$7,1,BF$5)*INDEX(Assumptions!$B$47:$M$47,1,BF$6)+INDEX(Costs!$C$8:$G$8,1,BF$5)*INDEX(Assumptions!$B$48:$M$48,1,BF$6)+INDEX(Costs!$C$9:$G$9,1,BF$5)*INDEX(Assumptions!$B$45:$M$45,1,BF$6))</f>
        <v>-82350000</v>
      </c>
      <c r="BG22" s="21" t="n">
        <f aca="false">-(INDEX(Costs!$C$5:$G$5,1,BG$5)*INDEX(Assumptions!$B$43:$M$43,1,BG$6)+INDEX(Costs!$C$6:$G$6,1,BG$5)*INDEX(Assumptions!$B$44:$M$44,1,BG$6)+INDEX(Costs!$C$7:$G$7,1,BG$5)*INDEX(Assumptions!$B$47:$M$47,1,BG$6)+INDEX(Costs!$C$8:$G$8,1,BG$5)*INDEX(Assumptions!$B$48:$M$48,1,BG$6)+INDEX(Costs!$C$9:$G$9,1,BG$5)*INDEX(Assumptions!$B$45:$M$45,1,BG$6))</f>
        <v>-50917600</v>
      </c>
      <c r="BH22" s="21" t="n">
        <f aca="false">-(INDEX(Costs!$C$5:$G$5,1,BH$5)*INDEX(Assumptions!$B$43:$M$43,1,BH$6)+INDEX(Costs!$C$6:$G$6,1,BH$5)*INDEX(Assumptions!$B$44:$M$44,1,BH$6)+INDEX(Costs!$C$7:$G$7,1,BH$5)*INDEX(Assumptions!$B$47:$M$47,1,BH$6)+INDEX(Costs!$C$8:$G$8,1,BH$5)*INDEX(Assumptions!$B$48:$M$48,1,BH$6)+INDEX(Costs!$C$9:$G$9,1,BH$5)*INDEX(Assumptions!$B$45:$M$45,1,BH$6))</f>
        <v>-43021200</v>
      </c>
      <c r="BI22" s="21" t="n">
        <f aca="false">-(INDEX(Costs!$C$5:$G$5,1,BI$5)*INDEX(Assumptions!$B$43:$M$43,1,BI$6)+INDEX(Costs!$C$6:$G$6,1,BI$5)*INDEX(Assumptions!$B$44:$M$44,1,BI$6)+INDEX(Costs!$C$7:$G$7,1,BI$5)*INDEX(Assumptions!$B$47:$M$47,1,BI$6)+INDEX(Costs!$C$8:$G$8,1,BI$5)*INDEX(Assumptions!$B$48:$M$48,1,BI$6)+INDEX(Costs!$C$9:$G$9,1,BI$5)*INDEX(Assumptions!$B$45:$M$45,1,BI$6))</f>
        <v>-24894000</v>
      </c>
    </row>
    <row r="23" customFormat="false" ht="15" hidden="false" customHeight="true" outlineLevel="0" collapsed="false">
      <c r="A23" s="5" t="s">
        <v>303</v>
      </c>
      <c r="B23" s="21" t="n">
        <f aca="false">-(INDEX(Costs!$C$17:$G$17,1,B$5)-INDEX(Costs!$C$18:$G$18,1,B$5))/12</f>
        <v>-18012437.5</v>
      </c>
      <c r="C23" s="21" t="n">
        <f aca="false">-(INDEX(Costs!$C$17:$G$17,1,C$5)-INDEX(Costs!$C$18:$G$18,1,C$5))/12</f>
        <v>-18012437.5</v>
      </c>
      <c r="D23" s="21" t="n">
        <f aca="false">-(INDEX(Costs!$C$17:$G$17,1,D$5)-INDEX(Costs!$C$18:$G$18,1,D$5))/12</f>
        <v>-18012437.5</v>
      </c>
      <c r="E23" s="21" t="n">
        <f aca="false">-(INDEX(Costs!$C$17:$G$17,1,E$5)-INDEX(Costs!$C$18:$G$18,1,E$5))/12</f>
        <v>-18012437.5</v>
      </c>
      <c r="F23" s="21" t="n">
        <f aca="false">-(INDEX(Costs!$C$17:$G$17,1,F$5)-INDEX(Costs!$C$18:$G$18,1,F$5))/12</f>
        <v>-18012437.5</v>
      </c>
      <c r="G23" s="21" t="n">
        <f aca="false">-(INDEX(Costs!$C$17:$G$17,1,G$5)-INDEX(Costs!$C$18:$G$18,1,G$5))/12</f>
        <v>-18012437.5</v>
      </c>
      <c r="H23" s="21" t="n">
        <f aca="false">-(INDEX(Costs!$C$17:$G$17,1,H$5)-INDEX(Costs!$C$18:$G$18,1,H$5))/12</f>
        <v>-18012437.5</v>
      </c>
      <c r="I23" s="21" t="n">
        <f aca="false">-(INDEX(Costs!$C$17:$G$17,1,I$5)-INDEX(Costs!$C$18:$G$18,1,I$5))/12</f>
        <v>-18012437.5</v>
      </c>
      <c r="J23" s="21" t="n">
        <f aca="false">-(INDEX(Costs!$C$17:$G$17,1,J$5)-INDEX(Costs!$C$18:$G$18,1,J$5))/12</f>
        <v>-18012437.5</v>
      </c>
      <c r="K23" s="21" t="n">
        <f aca="false">-(INDEX(Costs!$C$17:$G$17,1,K$5)-INDEX(Costs!$C$18:$G$18,1,K$5))/12</f>
        <v>-18012437.5</v>
      </c>
      <c r="L23" s="21" t="n">
        <f aca="false">-(INDEX(Costs!$C$17:$G$17,1,L$5)-INDEX(Costs!$C$18:$G$18,1,L$5))/12</f>
        <v>-18012437.5</v>
      </c>
      <c r="M23" s="21" t="n">
        <f aca="false">-(INDEX(Costs!$C$17:$G$17,1,M$5)-INDEX(Costs!$C$18:$G$18,1,M$5))/12</f>
        <v>-18012437.5</v>
      </c>
      <c r="N23" s="21" t="n">
        <f aca="false">-(INDEX(Costs!$C$17:$G$17,1,N$5)-INDEX(Costs!$C$18:$G$18,1,N$5))/12</f>
        <v>-30565395.8333333</v>
      </c>
      <c r="O23" s="21" t="n">
        <f aca="false">-(INDEX(Costs!$C$17:$G$17,1,O$5)-INDEX(Costs!$C$18:$G$18,1,O$5))/12</f>
        <v>-30565395.8333333</v>
      </c>
      <c r="P23" s="21" t="n">
        <f aca="false">-(INDEX(Costs!$C$17:$G$17,1,P$5)-INDEX(Costs!$C$18:$G$18,1,P$5))/12</f>
        <v>-30565395.8333333</v>
      </c>
      <c r="Q23" s="21" t="n">
        <f aca="false">-(INDEX(Costs!$C$17:$G$17,1,Q$5)-INDEX(Costs!$C$18:$G$18,1,Q$5))/12</f>
        <v>-30565395.8333333</v>
      </c>
      <c r="R23" s="21" t="n">
        <f aca="false">-(INDEX(Costs!$C$17:$G$17,1,R$5)-INDEX(Costs!$C$18:$G$18,1,R$5))/12</f>
        <v>-30565395.8333333</v>
      </c>
      <c r="S23" s="21" t="n">
        <f aca="false">-(INDEX(Costs!$C$17:$G$17,1,S$5)-INDEX(Costs!$C$18:$G$18,1,S$5))/12</f>
        <v>-30565395.8333333</v>
      </c>
      <c r="T23" s="21" t="n">
        <f aca="false">-(INDEX(Costs!$C$17:$G$17,1,T$5)-INDEX(Costs!$C$18:$G$18,1,T$5))/12</f>
        <v>-30565395.8333333</v>
      </c>
      <c r="U23" s="21" t="n">
        <f aca="false">-(INDEX(Costs!$C$17:$G$17,1,U$5)-INDEX(Costs!$C$18:$G$18,1,U$5))/12</f>
        <v>-30565395.8333333</v>
      </c>
      <c r="V23" s="21" t="n">
        <f aca="false">-(INDEX(Costs!$C$17:$G$17,1,V$5)-INDEX(Costs!$C$18:$G$18,1,V$5))/12</f>
        <v>-30565395.8333333</v>
      </c>
      <c r="W23" s="21" t="n">
        <f aca="false">-(INDEX(Costs!$C$17:$G$17,1,W$5)-INDEX(Costs!$C$18:$G$18,1,W$5))/12</f>
        <v>-30565395.8333333</v>
      </c>
      <c r="X23" s="21" t="n">
        <f aca="false">-(INDEX(Costs!$C$17:$G$17,1,X$5)-INDEX(Costs!$C$18:$G$18,1,X$5))/12</f>
        <v>-30565395.8333333</v>
      </c>
      <c r="Y23" s="21" t="n">
        <f aca="false">-(INDEX(Costs!$C$17:$G$17,1,Y$5)-INDEX(Costs!$C$18:$G$18,1,Y$5))/12</f>
        <v>-30565395.8333333</v>
      </c>
      <c r="Z23" s="21" t="n">
        <f aca="false">-(INDEX(Costs!$C$17:$G$17,1,Z$5)-INDEX(Costs!$C$18:$G$18,1,Z$5))/12</f>
        <v>-48186208.3333333</v>
      </c>
      <c r="AA23" s="21" t="n">
        <f aca="false">-(INDEX(Costs!$C$17:$G$17,1,AA$5)-INDEX(Costs!$C$18:$G$18,1,AA$5))/12</f>
        <v>-48186208.3333333</v>
      </c>
      <c r="AB23" s="21" t="n">
        <f aca="false">-(INDEX(Costs!$C$17:$G$17,1,AB$5)-INDEX(Costs!$C$18:$G$18,1,AB$5))/12</f>
        <v>-48186208.3333333</v>
      </c>
      <c r="AC23" s="21" t="n">
        <f aca="false">-(INDEX(Costs!$C$17:$G$17,1,AC$5)-INDEX(Costs!$C$18:$G$18,1,AC$5))/12</f>
        <v>-48186208.3333333</v>
      </c>
      <c r="AD23" s="21" t="n">
        <f aca="false">-(INDEX(Costs!$C$17:$G$17,1,AD$5)-INDEX(Costs!$C$18:$G$18,1,AD$5))/12</f>
        <v>-48186208.3333333</v>
      </c>
      <c r="AE23" s="21" t="n">
        <f aca="false">-(INDEX(Costs!$C$17:$G$17,1,AE$5)-INDEX(Costs!$C$18:$G$18,1,AE$5))/12</f>
        <v>-48186208.3333333</v>
      </c>
      <c r="AF23" s="21" t="n">
        <f aca="false">-(INDEX(Costs!$C$17:$G$17,1,AF$5)-INDEX(Costs!$C$18:$G$18,1,AF$5))/12</f>
        <v>-48186208.3333333</v>
      </c>
      <c r="AG23" s="21" t="n">
        <f aca="false">-(INDEX(Costs!$C$17:$G$17,1,AG$5)-INDEX(Costs!$C$18:$G$18,1,AG$5))/12</f>
        <v>-48186208.3333333</v>
      </c>
      <c r="AH23" s="21" t="n">
        <f aca="false">-(INDEX(Costs!$C$17:$G$17,1,AH$5)-INDEX(Costs!$C$18:$G$18,1,AH$5))/12</f>
        <v>-48186208.3333333</v>
      </c>
      <c r="AI23" s="21" t="n">
        <f aca="false">-(INDEX(Costs!$C$17:$G$17,1,AI$5)-INDEX(Costs!$C$18:$G$18,1,AI$5))/12</f>
        <v>-48186208.3333333</v>
      </c>
      <c r="AJ23" s="21" t="n">
        <f aca="false">-(INDEX(Costs!$C$17:$G$17,1,AJ$5)-INDEX(Costs!$C$18:$G$18,1,AJ$5))/12</f>
        <v>-48186208.3333333</v>
      </c>
      <c r="AK23" s="21" t="n">
        <f aca="false">-(INDEX(Costs!$C$17:$G$17,1,AK$5)-INDEX(Costs!$C$18:$G$18,1,AK$5))/12</f>
        <v>-48186208.3333333</v>
      </c>
      <c r="AL23" s="21" t="n">
        <f aca="false">-(INDEX(Costs!$C$17:$G$17,1,AL$5)-INDEX(Costs!$C$18:$G$18,1,AL$5))/12</f>
        <v>-68805250</v>
      </c>
      <c r="AM23" s="21" t="n">
        <f aca="false">-(INDEX(Costs!$C$17:$G$17,1,AM$5)-INDEX(Costs!$C$18:$G$18,1,AM$5))/12</f>
        <v>-68805250</v>
      </c>
      <c r="AN23" s="21" t="n">
        <f aca="false">-(INDEX(Costs!$C$17:$G$17,1,AN$5)-INDEX(Costs!$C$18:$G$18,1,AN$5))/12</f>
        <v>-68805250</v>
      </c>
      <c r="AO23" s="21" t="n">
        <f aca="false">-(INDEX(Costs!$C$17:$G$17,1,AO$5)-INDEX(Costs!$C$18:$G$18,1,AO$5))/12</f>
        <v>-68805250</v>
      </c>
      <c r="AP23" s="21" t="n">
        <f aca="false">-(INDEX(Costs!$C$17:$G$17,1,AP$5)-INDEX(Costs!$C$18:$G$18,1,AP$5))/12</f>
        <v>-68805250</v>
      </c>
      <c r="AQ23" s="21" t="n">
        <f aca="false">-(INDEX(Costs!$C$17:$G$17,1,AQ$5)-INDEX(Costs!$C$18:$G$18,1,AQ$5))/12</f>
        <v>-68805250</v>
      </c>
      <c r="AR23" s="21" t="n">
        <f aca="false">-(INDEX(Costs!$C$17:$G$17,1,AR$5)-INDEX(Costs!$C$18:$G$18,1,AR$5))/12</f>
        <v>-68805250</v>
      </c>
      <c r="AS23" s="21" t="n">
        <f aca="false">-(INDEX(Costs!$C$17:$G$17,1,AS$5)-INDEX(Costs!$C$18:$G$18,1,AS$5))/12</f>
        <v>-68805250</v>
      </c>
      <c r="AT23" s="21" t="n">
        <f aca="false">-(INDEX(Costs!$C$17:$G$17,1,AT$5)-INDEX(Costs!$C$18:$G$18,1,AT$5))/12</f>
        <v>-68805250</v>
      </c>
      <c r="AU23" s="21" t="n">
        <f aca="false">-(INDEX(Costs!$C$17:$G$17,1,AU$5)-INDEX(Costs!$C$18:$G$18,1,AU$5))/12</f>
        <v>-68805250</v>
      </c>
      <c r="AV23" s="21" t="n">
        <f aca="false">-(INDEX(Costs!$C$17:$G$17,1,AV$5)-INDEX(Costs!$C$18:$G$18,1,AV$5))/12</f>
        <v>-68805250</v>
      </c>
      <c r="AW23" s="21" t="n">
        <f aca="false">-(INDEX(Costs!$C$17:$G$17,1,AW$5)-INDEX(Costs!$C$18:$G$18,1,AW$5))/12</f>
        <v>-68805250</v>
      </c>
      <c r="AX23" s="21" t="n">
        <f aca="false">-(INDEX(Costs!$C$17:$G$17,1,AX$5)-INDEX(Costs!$C$18:$G$18,1,AX$5))/12</f>
        <v>-89805291.6666667</v>
      </c>
      <c r="AY23" s="21" t="n">
        <f aca="false">-(INDEX(Costs!$C$17:$G$17,1,AY$5)-INDEX(Costs!$C$18:$G$18,1,AY$5))/12</f>
        <v>-89805291.6666667</v>
      </c>
      <c r="AZ23" s="21" t="n">
        <f aca="false">-(INDEX(Costs!$C$17:$G$17,1,AZ$5)-INDEX(Costs!$C$18:$G$18,1,AZ$5))/12</f>
        <v>-89805291.6666667</v>
      </c>
      <c r="BA23" s="21" t="n">
        <f aca="false">-(INDEX(Costs!$C$17:$G$17,1,BA$5)-INDEX(Costs!$C$18:$G$18,1,BA$5))/12</f>
        <v>-89805291.6666667</v>
      </c>
      <c r="BB23" s="21" t="n">
        <f aca="false">-(INDEX(Costs!$C$17:$G$17,1,BB$5)-INDEX(Costs!$C$18:$G$18,1,BB$5))/12</f>
        <v>-89805291.6666667</v>
      </c>
      <c r="BC23" s="21" t="n">
        <f aca="false">-(INDEX(Costs!$C$17:$G$17,1,BC$5)-INDEX(Costs!$C$18:$G$18,1,BC$5))/12</f>
        <v>-89805291.6666667</v>
      </c>
      <c r="BD23" s="21" t="n">
        <f aca="false">-(INDEX(Costs!$C$17:$G$17,1,BD$5)-INDEX(Costs!$C$18:$G$18,1,BD$5))/12</f>
        <v>-89805291.6666667</v>
      </c>
      <c r="BE23" s="21" t="n">
        <f aca="false">-(INDEX(Costs!$C$17:$G$17,1,BE$5)-INDEX(Costs!$C$18:$G$18,1,BE$5))/12</f>
        <v>-89805291.6666667</v>
      </c>
      <c r="BF23" s="21" t="n">
        <f aca="false">-(INDEX(Costs!$C$17:$G$17,1,BF$5)-INDEX(Costs!$C$18:$G$18,1,BF$5))/12</f>
        <v>-89805291.6666667</v>
      </c>
      <c r="BG23" s="21" t="n">
        <f aca="false">-(INDEX(Costs!$C$17:$G$17,1,BG$5)-INDEX(Costs!$C$18:$G$18,1,BG$5))/12</f>
        <v>-89805291.6666667</v>
      </c>
      <c r="BH23" s="21" t="n">
        <f aca="false">-(INDEX(Costs!$C$17:$G$17,1,BH$5)-INDEX(Costs!$C$18:$G$18,1,BH$5))/12</f>
        <v>-89805291.6666667</v>
      </c>
      <c r="BI23" s="21" t="n">
        <f aca="false">-(INDEX(Costs!$C$17:$G$17,1,BI$5)-INDEX(Costs!$C$18:$G$18,1,BI$5))/12</f>
        <v>-89805291.6666667</v>
      </c>
    </row>
    <row r="25" customFormat="false" ht="15" hidden="false" customHeight="true" outlineLevel="0" collapsed="false">
      <c r="A25" s="6" t="s">
        <v>304</v>
      </c>
      <c r="B25" s="27" t="n">
        <f aca="false">B21+B22+B23</f>
        <v>-18548437.5</v>
      </c>
      <c r="C25" s="27" t="n">
        <f aca="false">C21+C22+C23</f>
        <v>-3500937.5</v>
      </c>
      <c r="D25" s="27" t="n">
        <f aca="false">D21+D22+D23</f>
        <v>4091062.5</v>
      </c>
      <c r="E25" s="27" t="n">
        <f aca="false">E21+E22+E23</f>
        <v>-3368437.5</v>
      </c>
      <c r="F25" s="27" t="n">
        <f aca="false">F21+F22+F23</f>
        <v>-4814937.5</v>
      </c>
      <c r="G25" s="27" t="n">
        <f aca="false">G21+G22+G23</f>
        <v>-3970937.5</v>
      </c>
      <c r="H25" s="27" t="n">
        <f aca="false">H21+H22+H23</f>
        <v>-4402687.5</v>
      </c>
      <c r="I25" s="27" t="n">
        <f aca="false">I21+I22+I23</f>
        <v>5369312.5</v>
      </c>
      <c r="J25" s="27" t="n">
        <f aca="false">J21+J22+J23</f>
        <v>-10343687.5</v>
      </c>
      <c r="K25" s="27" t="n">
        <f aca="false">K21+K22+K23</f>
        <v>4071062.5</v>
      </c>
      <c r="L25" s="27" t="n">
        <f aca="false">L21+L22+L23</f>
        <v>-3186937.5</v>
      </c>
      <c r="M25" s="27" t="n">
        <f aca="false">M21+M22+M23</f>
        <v>-3331187.5</v>
      </c>
      <c r="N25" s="27" t="n">
        <f aca="false">N21+N22+N23</f>
        <v>-20750895.8333333</v>
      </c>
      <c r="O25" s="27" t="n">
        <f aca="false">O21+O22+O23</f>
        <v>8563104.16666667</v>
      </c>
      <c r="P25" s="27" t="n">
        <f aca="false">P21+P22+P23</f>
        <v>6517504.16666667</v>
      </c>
      <c r="Q25" s="27" t="n">
        <f aca="false">Q21+Q22+Q23</f>
        <v>405004.166666668</v>
      </c>
      <c r="R25" s="27" t="n">
        <f aca="false">R21+R22+R23</f>
        <v>55704.1666666679</v>
      </c>
      <c r="S25" s="27" t="n">
        <f aca="false">S21+S22+S23</f>
        <v>2213704.16666667</v>
      </c>
      <c r="T25" s="27" t="n">
        <f aca="false">T21+T22+T23</f>
        <v>713454.166666668</v>
      </c>
      <c r="U25" s="27" t="n">
        <f aca="false">U21+U22+U23</f>
        <v>11983254.1666667</v>
      </c>
      <c r="V25" s="27" t="n">
        <f aca="false">V21+V22+V23</f>
        <v>-10802545.8333333</v>
      </c>
      <c r="W25" s="27" t="n">
        <f aca="false">W21+W22+W23</f>
        <v>17380104.1666667</v>
      </c>
      <c r="X25" s="27" t="n">
        <f aca="false">X21+X22+X23</f>
        <v>4004104.16666667</v>
      </c>
      <c r="Y25" s="27" t="n">
        <f aca="false">Y21+Y22+Y23</f>
        <v>4352754.16666667</v>
      </c>
      <c r="Z25" s="27" t="n">
        <f aca="false">Z21+Z22+Z23</f>
        <v>-23169108.3333333</v>
      </c>
      <c r="AA25" s="27" t="n">
        <f aca="false">AA21+AA22+AA23</f>
        <v>34339491.6666667</v>
      </c>
      <c r="AB25" s="27" t="n">
        <f aca="false">AB21+AB22+AB23</f>
        <v>26794541.6666667</v>
      </c>
      <c r="AC25" s="27" t="n">
        <f aca="false">AC21+AC22+AC23</f>
        <v>15300691.6666667</v>
      </c>
      <c r="AD25" s="27" t="n">
        <f aca="false">AD21+AD22+AD23</f>
        <v>15240291.6666667</v>
      </c>
      <c r="AE25" s="27" t="n">
        <f aca="false">AE21+AE22+AE23</f>
        <v>19466291.6666667</v>
      </c>
      <c r="AF25" s="27" t="n">
        <f aca="false">AF21+AF22+AF23</f>
        <v>16886491.6666667</v>
      </c>
      <c r="AG25" s="27" t="n">
        <f aca="false">AG21+AG22+AG23</f>
        <v>37023541.6666667</v>
      </c>
      <c r="AH25" s="27" t="n">
        <f aca="false">AH21+AH22+AH23</f>
        <v>-3675558.33333334</v>
      </c>
      <c r="AI25" s="27" t="n">
        <f aca="false">AI21+AI22+AI23</f>
        <v>46759191.6666667</v>
      </c>
      <c r="AJ25" s="27" t="n">
        <f aca="false">AJ21+AJ22+AJ23</f>
        <v>22555191.6666667</v>
      </c>
      <c r="AK25" s="27" t="n">
        <f aca="false">AK21+AK22+AK23</f>
        <v>23119441.6666667</v>
      </c>
      <c r="AL25" s="27" t="n">
        <f aca="false">AL21+AL22+AL23</f>
        <v>-15678350</v>
      </c>
      <c r="AM25" s="27" t="n">
        <f aca="false">AM21+AM22+AM23</f>
        <v>78613870</v>
      </c>
      <c r="AN25" s="27" t="n">
        <f aca="false">AN21+AN22+AN23</f>
        <v>51318290</v>
      </c>
      <c r="AO25" s="27" t="n">
        <f aca="false">AO21+AO22+AO23</f>
        <v>38923050</v>
      </c>
      <c r="AP25" s="27" t="n">
        <f aca="false">AP21+AP22+AP23</f>
        <v>41548470</v>
      </c>
      <c r="AQ25" s="27" t="n">
        <f aca="false">AQ21+AQ22+AQ23</f>
        <v>48038550</v>
      </c>
      <c r="AR25" s="27" t="n">
        <f aca="false">AR21+AR22+AR23</f>
        <v>45407450</v>
      </c>
      <c r="AS25" s="27" t="n">
        <f aca="false">AS21+AS22+AS23</f>
        <v>73112730</v>
      </c>
      <c r="AT25" s="27" t="n">
        <f aca="false">AT21+AT22+AT23</f>
        <v>10449070</v>
      </c>
      <c r="AU25" s="27" t="n">
        <f aca="false">AU21+AU22+AU23</f>
        <v>95357870</v>
      </c>
      <c r="AV25" s="27" t="n">
        <f aca="false">AV21+AV22+AV23</f>
        <v>54726150</v>
      </c>
      <c r="AW25" s="27" t="n">
        <f aca="false">AW21+AW22+AW23</f>
        <v>55607350</v>
      </c>
      <c r="AX25" s="27" t="n">
        <f aca="false">AX21+AX22+AX23</f>
        <v>6013708.33333333</v>
      </c>
      <c r="AY25" s="27" t="n">
        <f aca="false">AY21+AY22+AY23</f>
        <v>139135308.333333</v>
      </c>
      <c r="AZ25" s="27" t="n">
        <f aca="false">AZ21+AZ22+AZ23</f>
        <v>81719908.3333333</v>
      </c>
      <c r="BA25" s="27" t="n">
        <f aca="false">BA21+BA22+BA23</f>
        <v>67913108.3333333</v>
      </c>
      <c r="BB25" s="27" t="n">
        <f aca="false">BB21+BB22+BB23</f>
        <v>72279708.3333333</v>
      </c>
      <c r="BC25" s="27" t="n">
        <f aca="false">BC21+BC22+BC23</f>
        <v>81367308.3333333</v>
      </c>
      <c r="BD25" s="27" t="n">
        <f aca="false">BD21+BD22+BD23</f>
        <v>77760208.3333333</v>
      </c>
      <c r="BE25" s="27" t="n">
        <f aca="false">BE21+BE22+BE23</f>
        <v>115589208.333333</v>
      </c>
      <c r="BF25" s="27" t="n">
        <f aca="false">BF21+BF22+BF23</f>
        <v>29117208.3333333</v>
      </c>
      <c r="BG25" s="27" t="n">
        <f aca="false">BG21+BG22+BG23</f>
        <v>154892108.333333</v>
      </c>
      <c r="BH25" s="27" t="n">
        <f aca="false">BH21+BH22+BH23</f>
        <v>90688508.3333333</v>
      </c>
      <c r="BI25" s="27" t="n">
        <f aca="false">BI21+BI22+BI23</f>
        <v>92178208.3333333</v>
      </c>
    </row>
    <row r="26" customFormat="false" ht="15" hidden="false" customHeight="true" outlineLevel="0" collapsed="false">
      <c r="A26" s="5" t="s">
        <v>68</v>
      </c>
      <c r="B26" s="24" t="n">
        <f aca="false">Assumptions!$C$33</f>
        <v>0</v>
      </c>
      <c r="C26" s="21" t="n">
        <f aca="false">B27</f>
        <v>-18548437.5</v>
      </c>
      <c r="D26" s="21" t="n">
        <f aca="false">C27</f>
        <v>-22049375</v>
      </c>
      <c r="E26" s="21" t="n">
        <f aca="false">D27</f>
        <v>-17958312.5</v>
      </c>
      <c r="F26" s="21" t="n">
        <f aca="false">E27</f>
        <v>-21326750</v>
      </c>
      <c r="G26" s="21" t="n">
        <f aca="false">F27</f>
        <v>-26141687.5</v>
      </c>
      <c r="H26" s="21" t="n">
        <f aca="false">G27</f>
        <v>-30112625</v>
      </c>
      <c r="I26" s="21" t="n">
        <f aca="false">H27</f>
        <v>-34515312.5</v>
      </c>
      <c r="J26" s="21" t="n">
        <f aca="false">I27</f>
        <v>-29146000</v>
      </c>
      <c r="K26" s="21" t="n">
        <f aca="false">J27</f>
        <v>-39489687.5</v>
      </c>
      <c r="L26" s="21" t="n">
        <f aca="false">K27</f>
        <v>-35418625</v>
      </c>
      <c r="M26" s="21" t="n">
        <f aca="false">L27</f>
        <v>-38605562.5</v>
      </c>
      <c r="N26" s="21" t="n">
        <f aca="false">M27</f>
        <v>-41936750</v>
      </c>
      <c r="O26" s="21" t="n">
        <f aca="false">N27</f>
        <v>-62687645.8333333</v>
      </c>
      <c r="P26" s="21" t="n">
        <f aca="false">O27</f>
        <v>-54124541.6666667</v>
      </c>
      <c r="Q26" s="21" t="n">
        <f aca="false">P27</f>
        <v>-47607037.5</v>
      </c>
      <c r="R26" s="21" t="n">
        <f aca="false">Q27</f>
        <v>-47202033.3333333</v>
      </c>
      <c r="S26" s="21" t="n">
        <f aca="false">R27</f>
        <v>-47146329.1666666</v>
      </c>
      <c r="T26" s="21" t="n">
        <f aca="false">S27</f>
        <v>-44932625</v>
      </c>
      <c r="U26" s="21" t="n">
        <f aca="false">T27</f>
        <v>-44219170.8333333</v>
      </c>
      <c r="V26" s="21" t="n">
        <f aca="false">U27</f>
        <v>-32235916.6666666</v>
      </c>
      <c r="W26" s="21" t="n">
        <f aca="false">V27</f>
        <v>-43038462.5</v>
      </c>
      <c r="X26" s="21" t="n">
        <f aca="false">W27</f>
        <v>-25658358.3333333</v>
      </c>
      <c r="Y26" s="21" t="n">
        <f aca="false">X27</f>
        <v>-21654254.1666666</v>
      </c>
      <c r="Z26" s="21" t="n">
        <f aca="false">Y27</f>
        <v>-17301500</v>
      </c>
      <c r="AA26" s="21" t="n">
        <f aca="false">Z27</f>
        <v>-40470608.3333333</v>
      </c>
      <c r="AB26" s="21" t="n">
        <f aca="false">AA27</f>
        <v>-6131116.66666663</v>
      </c>
      <c r="AC26" s="21" t="n">
        <f aca="false">AB27</f>
        <v>20663425</v>
      </c>
      <c r="AD26" s="21" t="n">
        <f aca="false">AC27</f>
        <v>35964116.6666667</v>
      </c>
      <c r="AE26" s="21" t="n">
        <f aca="false">AD27</f>
        <v>51204408.3333334</v>
      </c>
      <c r="AF26" s="21" t="n">
        <f aca="false">AE27</f>
        <v>70670700</v>
      </c>
      <c r="AG26" s="21" t="n">
        <f aca="false">AF27</f>
        <v>87557191.6666667</v>
      </c>
      <c r="AH26" s="21" t="n">
        <f aca="false">AG27</f>
        <v>124580733.333333</v>
      </c>
      <c r="AI26" s="21" t="n">
        <f aca="false">AH27</f>
        <v>120905175</v>
      </c>
      <c r="AJ26" s="21" t="n">
        <f aca="false">AI27</f>
        <v>167664366.666667</v>
      </c>
      <c r="AK26" s="21" t="n">
        <f aca="false">AJ27</f>
        <v>190219558.333333</v>
      </c>
      <c r="AL26" s="21" t="n">
        <f aca="false">AK27</f>
        <v>213339000</v>
      </c>
      <c r="AM26" s="21" t="n">
        <f aca="false">AL27</f>
        <v>197660650</v>
      </c>
      <c r="AN26" s="21" t="n">
        <f aca="false">AM27</f>
        <v>276274520</v>
      </c>
      <c r="AO26" s="21" t="n">
        <f aca="false">AN27</f>
        <v>327592810</v>
      </c>
      <c r="AP26" s="21" t="n">
        <f aca="false">AO27</f>
        <v>366515860</v>
      </c>
      <c r="AQ26" s="21" t="n">
        <f aca="false">AP27</f>
        <v>408064330</v>
      </c>
      <c r="AR26" s="21" t="n">
        <f aca="false">AQ27</f>
        <v>456102880</v>
      </c>
      <c r="AS26" s="21" t="n">
        <f aca="false">AR27</f>
        <v>501510330</v>
      </c>
      <c r="AT26" s="21" t="n">
        <f aca="false">AS27</f>
        <v>574623060</v>
      </c>
      <c r="AU26" s="21" t="n">
        <f aca="false">AT27</f>
        <v>585072130</v>
      </c>
      <c r="AV26" s="21" t="n">
        <f aca="false">AU27</f>
        <v>680430000</v>
      </c>
      <c r="AW26" s="21" t="n">
        <f aca="false">AV27</f>
        <v>735156150</v>
      </c>
      <c r="AX26" s="21" t="n">
        <f aca="false">AW27</f>
        <v>790763500</v>
      </c>
      <c r="AY26" s="21" t="n">
        <f aca="false">AX27</f>
        <v>796777208.333333</v>
      </c>
      <c r="AZ26" s="21" t="n">
        <f aca="false">AY27</f>
        <v>935912516.666667</v>
      </c>
      <c r="BA26" s="21" t="n">
        <f aca="false">AZ27</f>
        <v>1017632425</v>
      </c>
      <c r="BB26" s="21" t="n">
        <f aca="false">BA27</f>
        <v>1085545533.33333</v>
      </c>
      <c r="BC26" s="21" t="n">
        <f aca="false">BB27</f>
        <v>1157825241.66667</v>
      </c>
      <c r="BD26" s="21" t="n">
        <f aca="false">BC27</f>
        <v>1239192550</v>
      </c>
      <c r="BE26" s="21" t="n">
        <f aca="false">BD27</f>
        <v>1316952758.33333</v>
      </c>
      <c r="BF26" s="21" t="n">
        <f aca="false">BE27</f>
        <v>1432541966.66667</v>
      </c>
      <c r="BG26" s="21" t="n">
        <f aca="false">BF27</f>
        <v>1461659175</v>
      </c>
      <c r="BH26" s="21" t="n">
        <f aca="false">BG27</f>
        <v>1616551283.33333</v>
      </c>
      <c r="BI26" s="21" t="n">
        <f aca="false">BH27</f>
        <v>1707239791.66667</v>
      </c>
    </row>
    <row r="27" customFormat="false" ht="15" hidden="false" customHeight="true" outlineLevel="0" collapsed="false">
      <c r="A27" s="6" t="s">
        <v>305</v>
      </c>
      <c r="B27" s="27" t="n">
        <f aca="false">B26+B25</f>
        <v>-18548437.5</v>
      </c>
      <c r="C27" s="27" t="n">
        <f aca="false">C26+C25</f>
        <v>-22049375</v>
      </c>
      <c r="D27" s="27" t="n">
        <f aca="false">D26+D25</f>
        <v>-17958312.5</v>
      </c>
      <c r="E27" s="27" t="n">
        <f aca="false">E26+E25</f>
        <v>-21326750</v>
      </c>
      <c r="F27" s="27" t="n">
        <f aca="false">F26+F25</f>
        <v>-26141687.5</v>
      </c>
      <c r="G27" s="27" t="n">
        <f aca="false">G26+G25</f>
        <v>-30112625</v>
      </c>
      <c r="H27" s="27" t="n">
        <f aca="false">H26+H25</f>
        <v>-34515312.5</v>
      </c>
      <c r="I27" s="27" t="n">
        <f aca="false">I26+I25</f>
        <v>-29146000</v>
      </c>
      <c r="J27" s="27" t="n">
        <f aca="false">J26+J25</f>
        <v>-39489687.5</v>
      </c>
      <c r="K27" s="27" t="n">
        <f aca="false">K26+K25</f>
        <v>-35418625</v>
      </c>
      <c r="L27" s="27" t="n">
        <f aca="false">L26+L25</f>
        <v>-38605562.5</v>
      </c>
      <c r="M27" s="27" t="n">
        <f aca="false">M26+M25</f>
        <v>-41936750</v>
      </c>
      <c r="N27" s="27" t="n">
        <f aca="false">N26+N25</f>
        <v>-62687645.8333333</v>
      </c>
      <c r="O27" s="27" t="n">
        <f aca="false">O26+O25</f>
        <v>-54124541.6666667</v>
      </c>
      <c r="P27" s="27" t="n">
        <f aca="false">P26+P25</f>
        <v>-47607037.5</v>
      </c>
      <c r="Q27" s="27" t="n">
        <f aca="false">Q26+Q25</f>
        <v>-47202033.3333333</v>
      </c>
      <c r="R27" s="27" t="n">
        <f aca="false">R26+R25</f>
        <v>-47146329.1666666</v>
      </c>
      <c r="S27" s="27" t="n">
        <f aca="false">S26+S25</f>
        <v>-44932625</v>
      </c>
      <c r="T27" s="27" t="n">
        <f aca="false">T26+T25</f>
        <v>-44219170.8333333</v>
      </c>
      <c r="U27" s="27" t="n">
        <f aca="false">U26+U25</f>
        <v>-32235916.6666666</v>
      </c>
      <c r="V27" s="27" t="n">
        <f aca="false">V26+V25</f>
        <v>-43038462.5</v>
      </c>
      <c r="W27" s="27" t="n">
        <f aca="false">W26+W25</f>
        <v>-25658358.3333333</v>
      </c>
      <c r="X27" s="27" t="n">
        <f aca="false">X26+X25</f>
        <v>-21654254.1666666</v>
      </c>
      <c r="Y27" s="27" t="n">
        <f aca="false">Y26+Y25</f>
        <v>-17301500</v>
      </c>
      <c r="Z27" s="27" t="n">
        <f aca="false">Z26+Z25</f>
        <v>-40470608.3333333</v>
      </c>
      <c r="AA27" s="27" t="n">
        <f aca="false">AA26+AA25</f>
        <v>-6131116.66666663</v>
      </c>
      <c r="AB27" s="27" t="n">
        <f aca="false">AB26+AB25</f>
        <v>20663425</v>
      </c>
      <c r="AC27" s="27" t="n">
        <f aca="false">AC26+AC25</f>
        <v>35964116.6666667</v>
      </c>
      <c r="AD27" s="27" t="n">
        <f aca="false">AD26+AD25</f>
        <v>51204408.3333334</v>
      </c>
      <c r="AE27" s="27" t="n">
        <f aca="false">AE26+AE25</f>
        <v>70670700</v>
      </c>
      <c r="AF27" s="27" t="n">
        <f aca="false">AF26+AF25</f>
        <v>87557191.6666667</v>
      </c>
      <c r="AG27" s="27" t="n">
        <f aca="false">AG26+AG25</f>
        <v>124580733.333333</v>
      </c>
      <c r="AH27" s="27" t="n">
        <f aca="false">AH26+AH25</f>
        <v>120905175</v>
      </c>
      <c r="AI27" s="27" t="n">
        <f aca="false">AI26+AI25</f>
        <v>167664366.666667</v>
      </c>
      <c r="AJ27" s="27" t="n">
        <f aca="false">AJ26+AJ25</f>
        <v>190219558.333333</v>
      </c>
      <c r="AK27" s="27" t="n">
        <f aca="false">AK26+AK25</f>
        <v>213339000</v>
      </c>
      <c r="AL27" s="27" t="n">
        <f aca="false">AL26+AL25</f>
        <v>197660650</v>
      </c>
      <c r="AM27" s="27" t="n">
        <f aca="false">AM26+AM25</f>
        <v>276274520</v>
      </c>
      <c r="AN27" s="27" t="n">
        <f aca="false">AN26+AN25</f>
        <v>327592810</v>
      </c>
      <c r="AO27" s="27" t="n">
        <f aca="false">AO26+AO25</f>
        <v>366515860</v>
      </c>
      <c r="AP27" s="27" t="n">
        <f aca="false">AP26+AP25</f>
        <v>408064330</v>
      </c>
      <c r="AQ27" s="27" t="n">
        <f aca="false">AQ26+AQ25</f>
        <v>456102880</v>
      </c>
      <c r="AR27" s="27" t="n">
        <f aca="false">AR26+AR25</f>
        <v>501510330</v>
      </c>
      <c r="AS27" s="27" t="n">
        <f aca="false">AS26+AS25</f>
        <v>574623060</v>
      </c>
      <c r="AT27" s="27" t="n">
        <f aca="false">AT26+AT25</f>
        <v>585072130</v>
      </c>
      <c r="AU27" s="27" t="n">
        <f aca="false">AU26+AU25</f>
        <v>680430000</v>
      </c>
      <c r="AV27" s="27" t="n">
        <f aca="false">AV26+AV25</f>
        <v>735156150</v>
      </c>
      <c r="AW27" s="27" t="n">
        <f aca="false">AW26+AW25</f>
        <v>790763500</v>
      </c>
      <c r="AX27" s="27" t="n">
        <f aca="false">AX26+AX25</f>
        <v>796777208.333333</v>
      </c>
      <c r="AY27" s="27" t="n">
        <f aca="false">AY26+AY25</f>
        <v>935912516.666667</v>
      </c>
      <c r="AZ27" s="27" t="n">
        <f aca="false">AZ26+AZ25</f>
        <v>1017632425</v>
      </c>
      <c r="BA27" s="27" t="n">
        <f aca="false">BA26+BA25</f>
        <v>1085545533.33333</v>
      </c>
      <c r="BB27" s="27" t="n">
        <f aca="false">BB26+BB25</f>
        <v>1157825241.66667</v>
      </c>
      <c r="BC27" s="27" t="n">
        <f aca="false">BC26+BC25</f>
        <v>1239192550</v>
      </c>
      <c r="BD27" s="27" t="n">
        <f aca="false">BD26+BD25</f>
        <v>1316952758.33333</v>
      </c>
      <c r="BE27" s="27" t="n">
        <f aca="false">BE26+BE25</f>
        <v>1432541966.66667</v>
      </c>
      <c r="BF27" s="27" t="n">
        <f aca="false">BF26+BF25</f>
        <v>1461659175</v>
      </c>
      <c r="BG27" s="27" t="n">
        <f aca="false">BG26+BG25</f>
        <v>1616551283.33333</v>
      </c>
      <c r="BH27" s="27" t="n">
        <f aca="false">BH26+BH25</f>
        <v>1707239791.66667</v>
      </c>
      <c r="BI27" s="27" t="n">
        <f aca="false">BI26+BI25</f>
        <v>1799418000</v>
      </c>
    </row>
    <row r="29" customFormat="false" ht="15" hidden="false" customHeight="true" outlineLevel="0" collapsed="false">
      <c r="A29" s="4" t="s">
        <v>306</v>
      </c>
    </row>
    <row r="30" customFormat="false" ht="15" hidden="false" customHeight="true" outlineLevel="0" collapsed="false">
      <c r="A30" s="6" t="s">
        <v>307</v>
      </c>
      <c r="B30" s="27" t="n">
        <f aca="false">MIN($B$27:$BI$27)</f>
        <v>-62687645.8333333</v>
      </c>
      <c r="D30" s="3" t="s">
        <v>308</v>
      </c>
    </row>
    <row r="31" customFormat="false" ht="15" hidden="false" customHeight="true" outlineLevel="0" collapsed="false">
      <c r="A31" s="5" t="s">
        <v>309</v>
      </c>
      <c r="B31" s="21" t="n">
        <f aca="false">MATCH(B30,$B$27:$BI$27,0)</f>
        <v>13</v>
      </c>
    </row>
    <row r="32" customFormat="false" ht="15" hidden="false" customHeight="true" outlineLevel="0" collapsed="false">
      <c r="A32" s="5" t="s">
        <v>310</v>
      </c>
      <c r="B32" s="21" t="n">
        <f aca="false">IFERROR(MATCH(TRUE(),INDEX($B$27:$BI$27&gt;0,0),0),0)</f>
        <v>27</v>
      </c>
    </row>
    <row r="33" customFormat="false" ht="15" hidden="false" customHeight="true" outlineLevel="0" collapsed="false">
      <c r="A33" s="5" t="s">
        <v>311</v>
      </c>
      <c r="B33" s="21" t="n">
        <f aca="false">SUM($B$21:$M$21)</f>
        <v>237962500</v>
      </c>
    </row>
    <row r="34" customFormat="false" ht="15" hidden="false" customHeight="true" outlineLevel="0" collapsed="false">
      <c r="A34" s="5" t="s">
        <v>312</v>
      </c>
      <c r="B34" s="21" t="n">
        <f aca="false">-SUM($B$22:$M$22)-SUM($B$23:$M$23)</f>
        <v>279899250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5"/>
    <col collapsed="false" customWidth="true" hidden="false" outlineLevel="0" max="10" min="10" style="1" width="16"/>
  </cols>
  <sheetData>
    <row r="1" customFormat="false" ht="17.25" hidden="false" customHeight="true" outlineLevel="0" collapsed="false">
      <c r="A1" s="2" t="s">
        <v>313</v>
      </c>
    </row>
    <row r="2" customFormat="false" ht="15" hidden="false" customHeight="true" outlineLevel="0" collapsed="false">
      <c r="A2" s="3" t="s">
        <v>314</v>
      </c>
    </row>
    <row r="3" customFormat="false" ht="23.25" hidden="false" customHeight="true" outlineLevel="0" collapsed="false">
      <c r="A3" s="8" t="s">
        <v>78</v>
      </c>
      <c r="B3" s="9" t="s">
        <v>315</v>
      </c>
      <c r="C3" s="9" t="s">
        <v>316</v>
      </c>
      <c r="D3" s="9" t="s">
        <v>317</v>
      </c>
      <c r="E3" s="9" t="s">
        <v>282</v>
      </c>
      <c r="F3" s="9" t="s">
        <v>318</v>
      </c>
      <c r="G3" s="9" t="s">
        <v>319</v>
      </c>
      <c r="H3" s="9" t="s">
        <v>320</v>
      </c>
      <c r="I3" s="9" t="s">
        <v>321</v>
      </c>
      <c r="J3" s="9" t="s">
        <v>322</v>
      </c>
    </row>
    <row r="4" customFormat="false" ht="15" hidden="false" customHeight="true" outlineLevel="0" collapsed="false">
      <c r="A4" s="5" t="s">
        <v>92</v>
      </c>
      <c r="B4" s="24" t="n">
        <f aca="false">Customers!L4+Customers!L5+Customers!L6+Customers!L7+Customers!L8+Customers!L9</f>
        <v>861</v>
      </c>
      <c r="C4" s="24" t="n">
        <f aca="false">Revenue!F$41</f>
        <v>220625000</v>
      </c>
      <c r="D4" s="21" t="n">
        <f aca="false">IF(B4=0,0,C4/B4)</f>
        <v>256242.740998839</v>
      </c>
      <c r="E4" s="17" t="n">
        <f aca="false">IF(C4=0,0,1)</f>
        <v>1</v>
      </c>
      <c r="F4" s="14" t="n">
        <v>120000</v>
      </c>
      <c r="G4" s="13" t="n">
        <v>0.78</v>
      </c>
      <c r="H4" s="21" t="n">
        <f aca="false">IF(G4&gt;=1,0,D4*E4/(1-G4))</f>
        <v>1164739.7318129</v>
      </c>
      <c r="I4" s="30" t="n">
        <f aca="false">IF(D4*E4=0,0,F4/(D4*E4/12))</f>
        <v>5.61967138810198</v>
      </c>
      <c r="J4" s="5" t="s">
        <v>323</v>
      </c>
    </row>
    <row r="5" customFormat="false" ht="15" hidden="false" customHeight="true" outlineLevel="0" collapsed="false">
      <c r="A5" s="18" t="s">
        <v>93</v>
      </c>
      <c r="B5" s="26" t="n">
        <f aca="false">Customers!L10+Customers!L11+Customers!L12</f>
        <v>21</v>
      </c>
      <c r="C5" s="26" t="n">
        <f aca="false">Revenue!F$42</f>
        <v>117000000</v>
      </c>
      <c r="D5" s="23" t="n">
        <f aca="false">IF(B5=0,0,C5/B5)</f>
        <v>5571428.57142857</v>
      </c>
      <c r="E5" s="31" t="n">
        <f aca="false">IF(C5=0,0,1)</f>
        <v>1</v>
      </c>
      <c r="F5" s="19" t="n">
        <v>2500000</v>
      </c>
      <c r="G5" s="32" t="n">
        <v>0.7</v>
      </c>
      <c r="H5" s="23" t="n">
        <f aca="false">IF(G5&gt;=1,0,D5*E5/(1-G5))</f>
        <v>18571428.5714286</v>
      </c>
      <c r="I5" s="33" t="n">
        <f aca="false">IF(D5*E5=0,0,F5/(D5*E5/12))</f>
        <v>5.38461538461538</v>
      </c>
      <c r="J5" s="18" t="s">
        <v>324</v>
      </c>
    </row>
    <row r="6" customFormat="false" ht="15" hidden="false" customHeight="true" outlineLevel="0" collapsed="false">
      <c r="A6" s="5" t="s">
        <v>94</v>
      </c>
      <c r="B6" s="24" t="n">
        <f aca="false">Customers!L13+Customers!L14+Customers!L15</f>
        <v>142</v>
      </c>
      <c r="C6" s="24" t="n">
        <f aca="false">Revenue!F$43</f>
        <v>188000000</v>
      </c>
      <c r="D6" s="21" t="n">
        <f aca="false">IF(B6=0,0,C6/B6)</f>
        <v>1323943.66197183</v>
      </c>
      <c r="E6" s="17" t="n">
        <f aca="false">IF(C6=0,0,1-Costs!E$5/C6)</f>
        <v>0.66</v>
      </c>
      <c r="F6" s="14" t="n">
        <v>180000</v>
      </c>
      <c r="G6" s="13" t="n">
        <v>0.25</v>
      </c>
      <c r="H6" s="21" t="n">
        <f aca="false">IF(G6&gt;=1,0,D6*E6/(1-G6))</f>
        <v>1165070.42253521</v>
      </c>
      <c r="I6" s="30" t="n">
        <f aca="false">IF(D6*E6=0,0,F6/(D6*E6/12))</f>
        <v>2.47195357833656</v>
      </c>
      <c r="J6" s="5" t="s">
        <v>325</v>
      </c>
    </row>
    <row r="7" customFormat="false" ht="15" hidden="false" customHeight="true" outlineLevel="0" collapsed="false">
      <c r="A7" s="18" t="s">
        <v>95</v>
      </c>
      <c r="B7" s="26" t="n">
        <f aca="false">Customers!L16+Customers!L17+Customers!L18</f>
        <v>116</v>
      </c>
      <c r="C7" s="26" t="n">
        <f aca="false">Revenue!F$44</f>
        <v>47850000</v>
      </c>
      <c r="D7" s="23" t="n">
        <f aca="false">IF(B7=0,0,C7/B7)</f>
        <v>412500</v>
      </c>
      <c r="E7" s="31" t="n">
        <f aca="false">IF(C7=0,0,1-Costs!E$6/C7)</f>
        <v>0.7</v>
      </c>
      <c r="F7" s="19" t="n">
        <v>90000</v>
      </c>
      <c r="G7" s="32" t="n">
        <v>0.8</v>
      </c>
      <c r="H7" s="23" t="n">
        <f aca="false">IF(G7&gt;=1,0,D7*E7/(1-G7))</f>
        <v>1443750</v>
      </c>
      <c r="I7" s="33" t="n">
        <f aca="false">IF(D7*E7=0,0,F7/(D7*E7/12))</f>
        <v>3.74025974025974</v>
      </c>
      <c r="J7" s="18" t="s">
        <v>326</v>
      </c>
    </row>
    <row r="8" customFormat="false" ht="15" hidden="false" customHeight="true" outlineLevel="0" collapsed="false">
      <c r="A8" s="5" t="s">
        <v>96</v>
      </c>
      <c r="B8" s="24" t="n">
        <f aca="false">Customers!L19+Customers!L20+Customers!L21</f>
        <v>34</v>
      </c>
      <c r="C8" s="24" t="n">
        <f aca="false">Revenue!F$45</f>
        <v>102000000</v>
      </c>
      <c r="D8" s="21" t="n">
        <f aca="false">IF(B8=0,0,C8/B8)</f>
        <v>3000000</v>
      </c>
      <c r="E8" s="17" t="n">
        <f aca="false">IF(C8=0,0,1-Costs!E$9/C8)</f>
        <v>0.69</v>
      </c>
      <c r="F8" s="14" t="n">
        <v>350000</v>
      </c>
      <c r="G8" s="13" t="n">
        <v>0.45</v>
      </c>
      <c r="H8" s="21" t="n">
        <f aca="false">IF(G8&gt;=1,0,D8*E8/(1-G8))</f>
        <v>3763636.36363636</v>
      </c>
      <c r="I8" s="30" t="n">
        <f aca="false">IF(D8*E8=0,0,F8/(D8*E8/12))</f>
        <v>2.02898550724638</v>
      </c>
      <c r="J8" s="5" t="s">
        <v>324</v>
      </c>
    </row>
    <row r="9" customFormat="false" ht="15" hidden="false" customHeight="true" outlineLevel="0" collapsed="false">
      <c r="A9" s="18" t="s">
        <v>97</v>
      </c>
      <c r="B9" s="26" t="n">
        <f aca="false">Customers!L22+Customers!L23+Customers!L24+Customers!L25+Customers!L26</f>
        <v>127</v>
      </c>
      <c r="C9" s="26" t="n">
        <f aca="false">Revenue!F$46</f>
        <v>76000000</v>
      </c>
      <c r="D9" s="23" t="n">
        <f aca="false">IF(B9=0,0,C9/B9)</f>
        <v>598425.196850394</v>
      </c>
      <c r="E9" s="31" t="n">
        <f aca="false">IF(C9=0,0,1)</f>
        <v>1</v>
      </c>
      <c r="F9" s="19" t="n">
        <v>220000</v>
      </c>
      <c r="G9" s="32" t="n">
        <v>0.82</v>
      </c>
      <c r="H9" s="23" t="n">
        <f aca="false">IF(G9&gt;=1,0,D9*E9/(1-G9))</f>
        <v>3324584.42694663</v>
      </c>
      <c r="I9" s="33" t="n">
        <f aca="false">IF(D9*E9=0,0,F9/(D9*E9/12))</f>
        <v>4.41157894736842</v>
      </c>
      <c r="J9" s="18" t="s">
        <v>323</v>
      </c>
    </row>
    <row r="10" customFormat="false" ht="15" hidden="false" customHeight="true" outlineLevel="0" collapsed="false">
      <c r="A10" s="5" t="s">
        <v>98</v>
      </c>
      <c r="B10" s="24" t="n">
        <f aca="false">Customers!L27+Customers!L28+Customers!L29+Customers!L30</f>
        <v>617</v>
      </c>
      <c r="C10" s="24" t="n">
        <f aca="false">Revenue!F$47</f>
        <v>135000000</v>
      </c>
      <c r="D10" s="21" t="n">
        <f aca="false">IF(B10=0,0,C10/B10)</f>
        <v>218800.648298217</v>
      </c>
      <c r="E10" s="17" t="n">
        <f aca="false">IF(C10=0,0,1-Costs!E$7/C10)</f>
        <v>0.55</v>
      </c>
      <c r="F10" s="14" t="n">
        <v>35000</v>
      </c>
      <c r="G10" s="13" t="n">
        <v>0.55</v>
      </c>
      <c r="H10" s="21" t="n">
        <f aca="false">IF(G10&gt;=1,0,D10*E10/(1-G10))</f>
        <v>267423.01458671</v>
      </c>
      <c r="I10" s="30" t="n">
        <f aca="false">IF(D10*E10=0,0,F10/(D10*E10/12))</f>
        <v>3.49010101010101</v>
      </c>
      <c r="J10" s="5" t="s">
        <v>325</v>
      </c>
    </row>
    <row r="11" customFormat="false" ht="15" hidden="false" customHeight="true" outlineLevel="0" collapsed="false">
      <c r="A11" s="18" t="s">
        <v>99</v>
      </c>
      <c r="B11" s="26" t="n">
        <f aca="false">Customers!L31+Customers!L32+Customers!L33</f>
        <v>14</v>
      </c>
      <c r="C11" s="26" t="n">
        <f aca="false">Revenue!F$48</f>
        <v>112000000</v>
      </c>
      <c r="D11" s="23" t="n">
        <f aca="false">IF(B11=0,0,C11/B11)</f>
        <v>8000000</v>
      </c>
      <c r="E11" s="31" t="n">
        <f aca="false">IF(C11=0,0,1-Costs!E$8/C11)</f>
        <v>0.56</v>
      </c>
      <c r="F11" s="19" t="n">
        <v>3500000</v>
      </c>
      <c r="G11" s="32" t="n">
        <v>0.35</v>
      </c>
      <c r="H11" s="23" t="n">
        <f aca="false">IF(G11&gt;=1,0,D11*E11/(1-G11))</f>
        <v>6892307.69230769</v>
      </c>
      <c r="I11" s="33" t="n">
        <f aca="false">IF(D11*E11=0,0,F11/(D11*E11/12))</f>
        <v>9.375</v>
      </c>
      <c r="J11" s="18" t="s">
        <v>325</v>
      </c>
    </row>
    <row r="12" customFormat="false" ht="15" hidden="false" customHeight="true" outlineLevel="0" collapsed="false">
      <c r="A12" s="5" t="s">
        <v>100</v>
      </c>
      <c r="B12" s="24" t="n">
        <f aca="false">Customers!L34+Customers!L35+Customers!L36</f>
        <v>17</v>
      </c>
      <c r="C12" s="24" t="n">
        <f aca="false">Revenue!F$49</f>
        <v>34000000</v>
      </c>
      <c r="D12" s="21" t="n">
        <f aca="false">IF(B12=0,0,C12/B12)</f>
        <v>2000000</v>
      </c>
      <c r="E12" s="17" t="n">
        <f aca="false">IF(C12=0,0,1)</f>
        <v>1</v>
      </c>
      <c r="F12" s="14" t="n">
        <v>400000</v>
      </c>
      <c r="G12" s="13" t="n">
        <v>0.85</v>
      </c>
      <c r="H12" s="21" t="n">
        <f aca="false">IF(G12&gt;=1,0,D12*E12/(1-G12))</f>
        <v>13333333.3333333</v>
      </c>
      <c r="I12" s="30" t="n">
        <f aca="false">IF(D12*E12=0,0,F12/(D12*E12/12))</f>
        <v>2.4</v>
      </c>
      <c r="J12" s="5" t="s">
        <v>323</v>
      </c>
    </row>
    <row r="13" customFormat="false" ht="15" hidden="false" customHeight="true" outlineLevel="0" collapsed="false">
      <c r="A13" s="18" t="s">
        <v>101</v>
      </c>
      <c r="B13" s="26" t="n">
        <f aca="false">Customers!L37+Customers!L38</f>
        <v>112</v>
      </c>
      <c r="C13" s="26" t="n">
        <f aca="false">Revenue!F$50</f>
        <v>26500000</v>
      </c>
      <c r="D13" s="23" t="n">
        <f aca="false">IF(B13=0,0,C13/B13)</f>
        <v>236607.142857143</v>
      </c>
      <c r="E13" s="31" t="n">
        <f aca="false">IF(C13=0,0,1)</f>
        <v>1</v>
      </c>
      <c r="F13" s="19" t="n">
        <v>60000</v>
      </c>
      <c r="G13" s="32" t="n">
        <v>0.8</v>
      </c>
      <c r="H13" s="23" t="n">
        <f aca="false">IF(G13&gt;=1,0,D13*E13/(1-G13))</f>
        <v>1183035.71428571</v>
      </c>
      <c r="I13" s="33" t="n">
        <f aca="false">IF(D13*E13=0,0,F13/(D13*E13/12))</f>
        <v>3.04301886792453</v>
      </c>
      <c r="J13" s="18" t="s">
        <v>323</v>
      </c>
    </row>
    <row r="16" customFormat="false" ht="33.75" hidden="false" customHeight="true" outlineLevel="0" collapsed="false">
      <c r="A16" s="29" t="s">
        <v>327</v>
      </c>
      <c r="B16" s="29"/>
      <c r="C16" s="29"/>
      <c r="D16" s="29"/>
      <c r="E16" s="29"/>
      <c r="F16" s="29"/>
      <c r="G16" s="29"/>
      <c r="H16" s="29"/>
      <c r="I16" s="29"/>
      <c r="J16" s="29"/>
    </row>
  </sheetData>
  <mergeCells count="1"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4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2" t="s">
        <v>328</v>
      </c>
    </row>
    <row r="2" customFormat="false" ht="15" hidden="false" customHeight="true" outlineLevel="0" collapsed="false">
      <c r="A2" s="3" t="s">
        <v>329</v>
      </c>
    </row>
    <row r="3" customFormat="false" ht="34.5" hidden="false" customHeight="true" outlineLevel="0" collapsed="false">
      <c r="A3" s="8" t="s">
        <v>78</v>
      </c>
      <c r="B3" s="9" t="s">
        <v>36</v>
      </c>
      <c r="C3" s="9" t="s">
        <v>38</v>
      </c>
      <c r="D3" s="9" t="s">
        <v>40</v>
      </c>
      <c r="E3" s="9" t="s">
        <v>41</v>
      </c>
      <c r="F3" s="9" t="s">
        <v>42</v>
      </c>
      <c r="G3" s="9"/>
      <c r="H3" s="9" t="s">
        <v>330</v>
      </c>
    </row>
    <row r="4" customFormat="false" ht="15" hidden="false" customHeight="true" outlineLevel="0" collapsed="false">
      <c r="A4" s="5" t="s">
        <v>92</v>
      </c>
      <c r="B4" s="17" t="n">
        <f aca="false">IF(Revenue!D$52=0,0,Revenue!D$41/Revenue!D$52)</f>
        <v>0.200401808136615</v>
      </c>
      <c r="C4" s="17" t="n">
        <f aca="false">IF(Revenue!E$52=0,0,Revenue!E$41/Revenue!E$52)</f>
        <v>0.217289170777543</v>
      </c>
      <c r="D4" s="17" t="n">
        <f aca="false">IF(Revenue!F$52=0,0,Revenue!F$41/Revenue!F$52)</f>
        <v>0.208338251611228</v>
      </c>
      <c r="E4" s="17" t="n">
        <f aca="false">IF(Revenue!G$52=0,0,Revenue!G$41/Revenue!G$52)</f>
        <v>0.209267152481782</v>
      </c>
      <c r="F4" s="17" t="n">
        <f aca="false">IF(Revenue!H$52=0,0,Revenue!H$41/Revenue!H$52)</f>
        <v>0.221160215766064</v>
      </c>
      <c r="I4" s="3" t="s">
        <v>331</v>
      </c>
    </row>
    <row r="5" customFormat="false" ht="15" hidden="false" customHeight="true" outlineLevel="0" collapsed="false">
      <c r="A5" s="18" t="s">
        <v>93</v>
      </c>
      <c r="B5" s="31" t="n">
        <f aca="false">IF(Revenue!D$52=0,0,Revenue!D$42/Revenue!D$52)</f>
        <v>0.200904068307383</v>
      </c>
      <c r="C5" s="31" t="n">
        <f aca="false">IF(Revenue!E$52=0,0,Revenue!E$42/Revenue!E$52)</f>
        <v>0.121212121212121</v>
      </c>
      <c r="D5" s="31" t="n">
        <f aca="false">IF(Revenue!F$52=0,0,Revenue!F$42/Revenue!F$52)</f>
        <v>0.110484194622158</v>
      </c>
      <c r="E5" s="31" t="n">
        <f aca="false">IF(Revenue!G$52=0,0,Revenue!G$42/Revenue!G$52)</f>
        <v>0.0893716485631789</v>
      </c>
      <c r="F5" s="31" t="n">
        <f aca="false">IF(Revenue!H$52=0,0,Revenue!H$42/Revenue!H$52)</f>
        <v>0.0779786126620611</v>
      </c>
      <c r="G5" s="22"/>
      <c r="H5" s="22"/>
      <c r="I5" s="20" t="s">
        <v>332</v>
      </c>
    </row>
    <row r="6" customFormat="false" ht="15" hidden="false" customHeight="true" outlineLevel="0" collapsed="false">
      <c r="A6" s="5" t="s">
        <v>94</v>
      </c>
      <c r="B6" s="17" t="n">
        <f aca="false">IF(Revenue!D$52=0,0,Revenue!D$43/Revenue!D$52)</f>
        <v>0.24108488196886</v>
      </c>
      <c r="C6" s="17" t="n">
        <f aca="false">IF(Revenue!E$52=0,0,Revenue!E$43/Revenue!E$52)</f>
        <v>0.217993892412497</v>
      </c>
      <c r="D6" s="17" t="n">
        <f aca="false">IF(Revenue!F$52=0,0,Revenue!F$43/Revenue!F$52)</f>
        <v>0.177530158880049</v>
      </c>
      <c r="E6" s="17" t="n">
        <f aca="false">IF(Revenue!G$52=0,0,Revenue!G$43/Revenue!G$52)</f>
        <v>0.140794720197993</v>
      </c>
      <c r="F6" s="17" t="n">
        <f aca="false">IF(Revenue!H$52=0,0,Revenue!H$43/Revenue!H$52)</f>
        <v>0.128702564587868</v>
      </c>
      <c r="I6" s="3" t="s">
        <v>333</v>
      </c>
    </row>
    <row r="7" customFormat="false" ht="15" hidden="false" customHeight="true" outlineLevel="0" collapsed="false">
      <c r="A7" s="18" t="s">
        <v>95</v>
      </c>
      <c r="B7" s="31" t="n">
        <f aca="false">IF(Revenue!D$52=0,0,Revenue!D$44/Revenue!D$52)</f>
        <v>0</v>
      </c>
      <c r="C7" s="31" t="n">
        <f aca="false">IF(Revenue!E$52=0,0,Revenue!E$44/Revenue!E$52)</f>
        <v>0.0338266384778013</v>
      </c>
      <c r="D7" s="31" t="n">
        <f aca="false">IF(Revenue!F$52=0,0,Revenue!F$44/Revenue!F$52)</f>
        <v>0.0451852026723955</v>
      </c>
      <c r="E7" s="31" t="n">
        <f aca="false">IF(Revenue!G$52=0,0,Revenue!G$44/Revenue!G$52)</f>
        <v>0.0502406159769009</v>
      </c>
      <c r="F7" s="31" t="n">
        <f aca="false">IF(Revenue!H$52=0,0,Revenue!H$44/Revenue!H$52)</f>
        <v>0.0556449323365194</v>
      </c>
      <c r="G7" s="22"/>
      <c r="H7" s="22"/>
      <c r="I7" s="20" t="s">
        <v>334</v>
      </c>
    </row>
    <row r="8" customFormat="false" ht="15" hidden="false" customHeight="true" outlineLevel="0" collapsed="false">
      <c r="A8" s="5" t="s">
        <v>96</v>
      </c>
      <c r="B8" s="17" t="n">
        <f aca="false">IF(Revenue!D$52=0,0,Revenue!D$45/Revenue!D$52)</f>
        <v>0.0763435459568056</v>
      </c>
      <c r="C8" s="17" t="n">
        <f aca="false">IF(Revenue!E$52=0,0,Revenue!E$45/Revenue!E$52)</f>
        <v>0.0845665961945032</v>
      </c>
      <c r="D8" s="17" t="n">
        <f aca="false">IF(Revenue!F$52=0,0,Revenue!F$45/Revenue!F$52)</f>
        <v>0.0963195542859841</v>
      </c>
      <c r="E8" s="17" t="n">
        <f aca="false">IF(Revenue!G$52=0,0,Revenue!G$45/Revenue!G$52)</f>
        <v>0.092946514505706</v>
      </c>
      <c r="F8" s="17" t="n">
        <f aca="false">IF(Revenue!H$52=0,0,Revenue!H$45/Revenue!H$52)</f>
        <v>0.0942557017128797</v>
      </c>
      <c r="I8" s="3" t="s">
        <v>335</v>
      </c>
    </row>
    <row r="9" customFormat="false" ht="15" hidden="false" customHeight="true" outlineLevel="0" collapsed="false">
      <c r="A9" s="18" t="s">
        <v>97</v>
      </c>
      <c r="B9" s="31" t="n">
        <f aca="false">IF(Revenue!D$52=0,0,Revenue!D$46/Revenue!D$52)</f>
        <v>0</v>
      </c>
      <c r="C9" s="31" t="n">
        <f aca="false">IF(Revenue!E$52=0,0,Revenue!E$46/Revenue!E$52)</f>
        <v>0.0526192154099131</v>
      </c>
      <c r="D9" s="31" t="n">
        <f aca="false">IF(Revenue!F$52=0,0,Revenue!F$46/Revenue!F$52)</f>
        <v>0.0717675110366156</v>
      </c>
      <c r="E9" s="31" t="n">
        <f aca="false">IF(Revenue!G$52=0,0,Revenue!G$46/Revenue!G$52)</f>
        <v>0.0767221229203905</v>
      </c>
      <c r="F9" s="31" t="n">
        <f aca="false">IF(Revenue!H$52=0,0,Revenue!H$46/Revenue!H$52)</f>
        <v>0.0861171571874704</v>
      </c>
      <c r="G9" s="22"/>
      <c r="H9" s="22"/>
      <c r="I9" s="20" t="s">
        <v>336</v>
      </c>
    </row>
    <row r="10" customFormat="false" ht="15" hidden="false" customHeight="true" outlineLevel="0" collapsed="false">
      <c r="A10" s="5" t="s">
        <v>98</v>
      </c>
      <c r="B10" s="17" t="n">
        <f aca="false">IF(Revenue!D$52=0,0,Revenue!D$47/Revenue!D$52)</f>
        <v>0.160723254645907</v>
      </c>
      <c r="C10" s="17" t="n">
        <f aca="false">IF(Revenue!E$52=0,0,Revenue!E$47/Revenue!E$52)</f>
        <v>0.141883955837444</v>
      </c>
      <c r="D10" s="17" t="n">
        <f aca="false">IF(Revenue!F$52=0,0,Revenue!F$47/Revenue!F$52)</f>
        <v>0.127481763025567</v>
      </c>
      <c r="E10" s="17" t="n">
        <f aca="false">IF(Revenue!G$52=0,0,Revenue!G$47/Revenue!G$52)</f>
        <v>0.122535404922315</v>
      </c>
      <c r="F10" s="17" t="n">
        <f aca="false">IF(Revenue!H$52=0,0,Revenue!H$47/Revenue!H$52)</f>
        <v>0.129081101542538</v>
      </c>
      <c r="I10" s="3" t="s">
        <v>337</v>
      </c>
    </row>
    <row r="11" customFormat="false" ht="15" hidden="false" customHeight="true" outlineLevel="0" collapsed="false">
      <c r="A11" s="18" t="s">
        <v>99</v>
      </c>
      <c r="B11" s="31" t="n">
        <f aca="false">IF(Revenue!D$52=0,0,Revenue!D$48/Revenue!D$52)</f>
        <v>0.12054244098443</v>
      </c>
      <c r="C11" s="31" t="n">
        <f aca="false">IF(Revenue!E$52=0,0,Revenue!E$48/Revenue!E$52)</f>
        <v>0.105238430819826</v>
      </c>
      <c r="D11" s="31" t="n">
        <f aca="false">IF(Revenue!F$52=0,0,Revenue!F$48/Revenue!F$52)</f>
        <v>0.105762647843434</v>
      </c>
      <c r="E11" s="31" t="n">
        <f aca="false">IF(Revenue!G$52=0,0,Revenue!G$48/Revenue!G$52)</f>
        <v>0.146294513955727</v>
      </c>
      <c r="F11" s="31" t="n">
        <f aca="false">IF(Revenue!H$52=0,0,Revenue!H$48/Revenue!H$52)</f>
        <v>0.128702564587868</v>
      </c>
      <c r="G11" s="22"/>
      <c r="H11" s="22"/>
      <c r="I11" s="20" t="s">
        <v>337</v>
      </c>
    </row>
    <row r="12" customFormat="false" ht="15" hidden="false" customHeight="true" outlineLevel="0" collapsed="false">
      <c r="A12" s="5" t="s">
        <v>100</v>
      </c>
      <c r="B12" s="17" t="n">
        <f aca="false">IF(Revenue!D$52=0,0,Revenue!D$49/Revenue!D$52)</f>
        <v>0</v>
      </c>
      <c r="C12" s="17" t="n">
        <f aca="false">IF(Revenue!E$52=0,0,Revenue!E$49/Revenue!E$52)</f>
        <v>0.0112755461592671</v>
      </c>
      <c r="D12" s="17" t="n">
        <f aca="false">IF(Revenue!F$52=0,0,Revenue!F$49/Revenue!F$52)</f>
        <v>0.032106518095328</v>
      </c>
      <c r="E12" s="17" t="n">
        <f aca="false">IF(Revenue!G$52=0,0,Revenue!G$49/Revenue!G$52)</f>
        <v>0.0443283376873367</v>
      </c>
      <c r="F12" s="17" t="n">
        <f aca="false">IF(Revenue!H$52=0,0,Revenue!H$49/Revenue!H$52)</f>
        <v>0.0499668780164664</v>
      </c>
      <c r="I12" s="3" t="s">
        <v>338</v>
      </c>
    </row>
    <row r="13" customFormat="false" ht="15" hidden="false" customHeight="true" outlineLevel="0" collapsed="false">
      <c r="A13" s="18" t="s">
        <v>101</v>
      </c>
      <c r="B13" s="31" t="n">
        <f aca="false">IF(Revenue!D$52=0,0,Revenue!D$50/Revenue!D$52)</f>
        <v>0</v>
      </c>
      <c r="C13" s="31" t="n">
        <f aca="false">IF(Revenue!E$52=0,0,Revenue!E$50/Revenue!E$52)</f>
        <v>0.0140944326990839</v>
      </c>
      <c r="D13" s="31" t="n">
        <f aca="false">IF(Revenue!F$52=0,0,Revenue!F$50/Revenue!F$52)</f>
        <v>0.025024197927241</v>
      </c>
      <c r="E13" s="31" t="n">
        <f aca="false">IF(Revenue!G$52=0,0,Revenue!G$50/Revenue!G$52)</f>
        <v>0.0274989687886704</v>
      </c>
      <c r="F13" s="31" t="n">
        <f aca="false">IF(Revenue!H$52=0,0,Revenue!H$50/Revenue!H$52)</f>
        <v>0.028390271600265</v>
      </c>
      <c r="G13" s="22"/>
      <c r="H13" s="22"/>
      <c r="I13" s="20" t="s">
        <v>339</v>
      </c>
    </row>
    <row r="15" customFormat="false" ht="15" hidden="false" customHeight="true" outlineLevel="0" collapsed="false">
      <c r="A15" s="6" t="s">
        <v>340</v>
      </c>
      <c r="B15" s="34" t="n">
        <f aca="false">SUM(B4:B13)</f>
        <v>1</v>
      </c>
      <c r="C15" s="34" t="n">
        <f aca="false">SUM(C4:C13)</f>
        <v>1</v>
      </c>
      <c r="D15" s="34" t="n">
        <f aca="false">SUM(D4:D13)</f>
        <v>1</v>
      </c>
      <c r="E15" s="34" t="n">
        <f aca="false">SUM(E4:E13)</f>
        <v>1</v>
      </c>
      <c r="F15" s="34" t="n">
        <f aca="false">SUM(F4:F13)</f>
        <v>1</v>
      </c>
    </row>
    <row r="18" customFormat="false" ht="15" hidden="false" customHeight="true" outlineLevel="0" collapsed="false">
      <c r="A18" s="4" t="s">
        <v>341</v>
      </c>
    </row>
    <row r="19" customFormat="false" ht="15" hidden="false" customHeight="true" outlineLevel="0" collapsed="false">
      <c r="A19" s="3" t="s">
        <v>342</v>
      </c>
    </row>
    <row r="20" customFormat="false" ht="15" hidden="false" customHeight="true" outlineLevel="0" collapsed="false">
      <c r="A20" s="3" t="s">
        <v>343</v>
      </c>
    </row>
    <row r="21" customFormat="false" ht="15" hidden="false" customHeight="true" outlineLevel="0" collapsed="false">
      <c r="A21" s="5" t="s">
        <v>344</v>
      </c>
      <c r="B21" s="24" t="n">
        <f aca="false">Pricing!$D$10</f>
        <v>15000000</v>
      </c>
      <c r="C21" s="24" t="n">
        <f aca="false">Pricing!$D$10</f>
        <v>15000000</v>
      </c>
      <c r="D21" s="24" t="n">
        <f aca="false">Pricing!$D$10</f>
        <v>15000000</v>
      </c>
      <c r="E21" s="24" t="n">
        <f aca="false">Pricing!$D$10</f>
        <v>15000000</v>
      </c>
      <c r="F21" s="24" t="n">
        <f aca="false">Pricing!$D$10</f>
        <v>15000000</v>
      </c>
    </row>
    <row r="22" customFormat="false" ht="15" hidden="false" customHeight="true" outlineLevel="0" collapsed="false">
      <c r="A22" s="5" t="s">
        <v>345</v>
      </c>
      <c r="B22" s="17" t="n">
        <f aca="false">IF(Revenue!D$52=0,0,B21/Revenue!D$52)</f>
        <v>0.060271220492215</v>
      </c>
      <c r="C22" s="17" t="n">
        <f aca="false">IF(Revenue!E$52=0,0,C21/Revenue!E$52)</f>
        <v>0.0281888653981677</v>
      </c>
      <c r="D22" s="17" t="n">
        <f aca="false">IF(Revenue!F$52=0,0,D21/Revenue!F$52)</f>
        <v>0.0141646403361741</v>
      </c>
      <c r="E22" s="17" t="n">
        <f aca="false">IF(Revenue!G$52=0,0,E21/Revenue!G$52)</f>
        <v>0.00824969063660113</v>
      </c>
      <c r="F22" s="17" t="n">
        <f aca="false">IF(Revenue!H$52=0,0,F21/Revenue!H$52)</f>
        <v>0.005678054320053</v>
      </c>
    </row>
    <row r="23" customFormat="false" ht="15" hidden="false" customHeight="true" outlineLevel="0" collapsed="false">
      <c r="A23" s="6" t="s">
        <v>346</v>
      </c>
      <c r="B23" s="35" t="str">
        <f aca="false">IF(B22&lt;=0.15,"Yes","NO")</f>
        <v>Yes</v>
      </c>
      <c r="C23" s="35" t="str">
        <f aca="false">IF(C22&lt;=0.15,"Yes","NO")</f>
        <v>Yes</v>
      </c>
      <c r="D23" s="35" t="str">
        <f aca="false">IF(D22&lt;=0.15,"Yes","NO")</f>
        <v>Yes</v>
      </c>
      <c r="E23" s="35" t="str">
        <f aca="false">IF(E22&lt;=0.15,"Yes","NO")</f>
        <v>Yes</v>
      </c>
      <c r="F23" s="35" t="str">
        <f aca="false">IF(F22&lt;=0.15,"Yes","NO")</f>
        <v>Yes</v>
      </c>
    </row>
    <row r="25" customFormat="false" ht="33.75" hidden="false" customHeight="true" outlineLevel="0" collapsed="false">
      <c r="A25" s="29" t="s">
        <v>347</v>
      </c>
      <c r="B25" s="29"/>
      <c r="C25" s="29"/>
      <c r="D25" s="29"/>
      <c r="E25" s="29"/>
      <c r="F25" s="29"/>
      <c r="G25" s="29"/>
      <c r="H25" s="29"/>
      <c r="I25" s="29"/>
    </row>
    <row r="27" customFormat="false" ht="15" hidden="false" customHeight="true" outlineLevel="0" collapsed="false">
      <c r="A27" s="4" t="s">
        <v>348</v>
      </c>
    </row>
    <row r="28" customFormat="false" ht="15" hidden="false" customHeight="true" outlineLevel="0" collapsed="false">
      <c r="A28" s="36" t="s">
        <v>349</v>
      </c>
      <c r="B28" s="28" t="s">
        <v>36</v>
      </c>
      <c r="C28" s="28" t="s">
        <v>38</v>
      </c>
      <c r="D28" s="28" t="s">
        <v>40</v>
      </c>
      <c r="E28" s="28" t="s">
        <v>41</v>
      </c>
      <c r="F28" s="28" t="s">
        <v>42</v>
      </c>
      <c r="G28" s="28"/>
      <c r="H28" s="28" t="s">
        <v>350</v>
      </c>
    </row>
    <row r="29" customFormat="false" ht="15" hidden="false" customHeight="true" outlineLevel="0" collapsed="false">
      <c r="A29" s="5" t="s">
        <v>92</v>
      </c>
      <c r="B29" s="17" t="n">
        <f aca="false">IF(Revenue!D$52=0,0,(Revenue!D$41)/Revenue!D$52)</f>
        <v>0.200401808136615</v>
      </c>
      <c r="C29" s="17" t="n">
        <f aca="false">IF(Revenue!E$52=0,0,(Revenue!E$41)/Revenue!E$52)</f>
        <v>0.217289170777543</v>
      </c>
      <c r="D29" s="17" t="n">
        <f aca="false">IF(Revenue!F$52=0,0,(Revenue!F$41)/Revenue!F$52)</f>
        <v>0.208338251611228</v>
      </c>
      <c r="E29" s="17" t="n">
        <f aca="false">IF(Revenue!G$52=0,0,(Revenue!G$41)/Revenue!G$52)</f>
        <v>0.209267152481782</v>
      </c>
      <c r="F29" s="17" t="n">
        <f aca="false">IF(Revenue!H$52=0,0,(Revenue!H$41)/Revenue!H$52)</f>
        <v>0.221160215766064</v>
      </c>
      <c r="I29" s="3" t="s">
        <v>331</v>
      </c>
    </row>
    <row r="30" customFormat="false" ht="15" hidden="false" customHeight="true" outlineLevel="0" collapsed="false">
      <c r="A30" s="5" t="s">
        <v>351</v>
      </c>
      <c r="B30" s="17" t="n">
        <f aca="false">IF(Revenue!D$52=0,0,(Revenue!D$43+Revenue!D$44)/Revenue!D$52)</f>
        <v>0.24108488196886</v>
      </c>
      <c r="C30" s="17" t="n">
        <f aca="false">IF(Revenue!E$52=0,0,(Revenue!E$43+Revenue!E$44)/Revenue!E$52)</f>
        <v>0.251820530890298</v>
      </c>
      <c r="D30" s="17" t="n">
        <f aca="false">IF(Revenue!F$52=0,0,(Revenue!F$43+Revenue!F$44)/Revenue!F$52)</f>
        <v>0.222715361552445</v>
      </c>
      <c r="E30" s="17" t="n">
        <f aca="false">IF(Revenue!G$52=0,0,(Revenue!G$43+Revenue!G$44)/Revenue!G$52)</f>
        <v>0.191035336174893</v>
      </c>
      <c r="F30" s="17" t="n">
        <f aca="false">IF(Revenue!H$52=0,0,(Revenue!H$43+Revenue!H$44)/Revenue!H$52)</f>
        <v>0.184347496924387</v>
      </c>
      <c r="I30" s="3" t="s">
        <v>352</v>
      </c>
    </row>
    <row r="31" customFormat="false" ht="15" hidden="false" customHeight="true" outlineLevel="0" collapsed="false">
      <c r="A31" s="5" t="s">
        <v>353</v>
      </c>
      <c r="B31" s="17" t="n">
        <f aca="false">IF(Revenue!D$52=0,0,(Revenue!D$45+Revenue!D$46)/Revenue!D$52)</f>
        <v>0.0763435459568056</v>
      </c>
      <c r="C31" s="17" t="n">
        <f aca="false">IF(Revenue!E$52=0,0,(Revenue!E$45+Revenue!E$46)/Revenue!E$52)</f>
        <v>0.137185811604416</v>
      </c>
      <c r="D31" s="17" t="n">
        <f aca="false">IF(Revenue!F$52=0,0,(Revenue!F$45+Revenue!F$46)/Revenue!F$52)</f>
        <v>0.1680870653226</v>
      </c>
      <c r="E31" s="17" t="n">
        <f aca="false">IF(Revenue!G$52=0,0,(Revenue!G$45+Revenue!G$46)/Revenue!G$52)</f>
        <v>0.169668637426097</v>
      </c>
      <c r="F31" s="17" t="n">
        <f aca="false">IF(Revenue!H$52=0,0,(Revenue!H$45+Revenue!H$46)/Revenue!H$52)</f>
        <v>0.18037285890035</v>
      </c>
      <c r="I31" s="3" t="s">
        <v>352</v>
      </c>
    </row>
    <row r="32" customFormat="false" ht="15" hidden="false" customHeight="true" outlineLevel="0" collapsed="false">
      <c r="A32" s="5" t="s">
        <v>98</v>
      </c>
      <c r="B32" s="17" t="n">
        <f aca="false">IF(Revenue!D$52=0,0,(Revenue!D$47)/Revenue!D$52)</f>
        <v>0.160723254645907</v>
      </c>
      <c r="C32" s="17" t="n">
        <f aca="false">IF(Revenue!E$52=0,0,(Revenue!E$47)/Revenue!E$52)</f>
        <v>0.141883955837444</v>
      </c>
      <c r="D32" s="17" t="n">
        <f aca="false">IF(Revenue!F$52=0,0,(Revenue!F$47)/Revenue!F$52)</f>
        <v>0.127481763025567</v>
      </c>
      <c r="E32" s="17" t="n">
        <f aca="false">IF(Revenue!G$52=0,0,(Revenue!G$47)/Revenue!G$52)</f>
        <v>0.122535404922315</v>
      </c>
      <c r="F32" s="17" t="n">
        <f aca="false">IF(Revenue!H$52=0,0,(Revenue!H$47)/Revenue!H$52)</f>
        <v>0.129081101542538</v>
      </c>
      <c r="I32" s="3" t="s">
        <v>337</v>
      </c>
    </row>
    <row r="33" customFormat="false" ht="15" hidden="false" customHeight="true" outlineLevel="0" collapsed="false">
      <c r="A33" s="5" t="s">
        <v>99</v>
      </c>
      <c r="B33" s="17" t="n">
        <f aca="false">IF(Revenue!D$52=0,0,(Revenue!D$48)/Revenue!D$52)</f>
        <v>0.12054244098443</v>
      </c>
      <c r="C33" s="17" t="n">
        <f aca="false">IF(Revenue!E$52=0,0,(Revenue!E$48)/Revenue!E$52)</f>
        <v>0.105238430819826</v>
      </c>
      <c r="D33" s="17" t="n">
        <f aca="false">IF(Revenue!F$52=0,0,(Revenue!F$48)/Revenue!F$52)</f>
        <v>0.105762647843434</v>
      </c>
      <c r="E33" s="17" t="n">
        <f aca="false">IF(Revenue!G$52=0,0,(Revenue!G$48)/Revenue!G$52)</f>
        <v>0.146294513955727</v>
      </c>
      <c r="F33" s="17" t="n">
        <f aca="false">IF(Revenue!H$52=0,0,(Revenue!H$48)/Revenue!H$52)</f>
        <v>0.128702564587868</v>
      </c>
      <c r="I33" s="3" t="s">
        <v>337</v>
      </c>
    </row>
    <row r="34" customFormat="false" ht="15" hidden="false" customHeight="true" outlineLevel="0" collapsed="false">
      <c r="A34" s="5" t="s">
        <v>93</v>
      </c>
      <c r="B34" s="17" t="n">
        <f aca="false">IF(Revenue!D$52=0,0,(Revenue!D$42)/Revenue!D$52)</f>
        <v>0.200904068307383</v>
      </c>
      <c r="C34" s="17" t="n">
        <f aca="false">IF(Revenue!E$52=0,0,(Revenue!E$42)/Revenue!E$52)</f>
        <v>0.121212121212121</v>
      </c>
      <c r="D34" s="17" t="n">
        <f aca="false">IF(Revenue!F$52=0,0,(Revenue!F$42)/Revenue!F$52)</f>
        <v>0.110484194622158</v>
      </c>
      <c r="E34" s="17" t="n">
        <f aca="false">IF(Revenue!G$52=0,0,(Revenue!G$42)/Revenue!G$52)</f>
        <v>0.0893716485631789</v>
      </c>
      <c r="F34" s="17" t="n">
        <f aca="false">IF(Revenue!H$52=0,0,(Revenue!H$42)/Revenue!H$52)</f>
        <v>0.0779786126620611</v>
      </c>
      <c r="I34" s="3" t="s">
        <v>332</v>
      </c>
    </row>
    <row r="35" customFormat="false" ht="15" hidden="false" customHeight="true" outlineLevel="0" collapsed="false">
      <c r="A35" s="5" t="s">
        <v>354</v>
      </c>
      <c r="B35" s="17" t="n">
        <f aca="false">IF(Revenue!D$52=0,0,(Revenue!D$49+Revenue!D$50)/Revenue!D$52)</f>
        <v>0</v>
      </c>
      <c r="C35" s="17" t="n">
        <f aca="false">IF(Revenue!E$52=0,0,(Revenue!E$49+Revenue!E$50)/Revenue!E$52)</f>
        <v>0.025369978858351</v>
      </c>
      <c r="D35" s="17" t="n">
        <f aca="false">IF(Revenue!F$52=0,0,(Revenue!F$49+Revenue!F$50)/Revenue!F$52)</f>
        <v>0.057130716022569</v>
      </c>
      <c r="E35" s="17" t="n">
        <f aca="false">IF(Revenue!G$52=0,0,(Revenue!G$49+Revenue!G$50)/Revenue!G$52)</f>
        <v>0.0718273064760071</v>
      </c>
      <c r="F35" s="17" t="n">
        <f aca="false">IF(Revenue!H$52=0,0,(Revenue!H$49+Revenue!H$50)/Revenue!H$52)</f>
        <v>0.0783571496167313</v>
      </c>
      <c r="I35" s="3" t="s">
        <v>332</v>
      </c>
    </row>
    <row r="37" customFormat="false" ht="27.75" hidden="false" customHeight="true" outlineLevel="0" collapsed="false">
      <c r="A37" s="29" t="s">
        <v>355</v>
      </c>
      <c r="B37" s="29"/>
      <c r="C37" s="29"/>
      <c r="D37" s="29"/>
      <c r="E37" s="29"/>
      <c r="F37" s="29"/>
      <c r="G37" s="29"/>
      <c r="H37" s="29"/>
      <c r="I37" s="29"/>
    </row>
  </sheetData>
  <mergeCells count="2">
    <mergeCell ref="A25:I25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11" min="2" style="1" width="12"/>
    <col collapsed="false" customWidth="true" hidden="false" outlineLevel="0" max="12" min="12" style="1" width="8"/>
  </cols>
  <sheetData>
    <row r="1" customFormat="false" ht="17.25" hidden="false" customHeight="true" outlineLevel="0" collapsed="false">
      <c r="A1" s="2" t="s">
        <v>356</v>
      </c>
    </row>
    <row r="2" customFormat="false" ht="15" hidden="false" customHeight="true" outlineLevel="0" collapsed="false">
      <c r="A2" s="3" t="s">
        <v>357</v>
      </c>
    </row>
    <row r="3" customFormat="false" ht="34.5" hidden="false" customHeight="true" outlineLevel="0" collapsed="false">
      <c r="A3" s="8" t="s">
        <v>78</v>
      </c>
      <c r="B3" s="9" t="s">
        <v>358</v>
      </c>
      <c r="C3" s="9" t="s">
        <v>359</v>
      </c>
      <c r="D3" s="9" t="s">
        <v>286</v>
      </c>
      <c r="E3" s="9" t="s">
        <v>282</v>
      </c>
      <c r="F3" s="9" t="s">
        <v>360</v>
      </c>
      <c r="G3" s="9" t="s">
        <v>361</v>
      </c>
      <c r="H3" s="9" t="s">
        <v>362</v>
      </c>
      <c r="I3" s="9" t="s">
        <v>363</v>
      </c>
      <c r="J3" s="9" t="s">
        <v>364</v>
      </c>
      <c r="K3" s="9" t="s">
        <v>365</v>
      </c>
      <c r="L3" s="9" t="s">
        <v>366</v>
      </c>
    </row>
    <row r="4" customFormat="false" ht="15" hidden="false" customHeight="true" outlineLevel="0" collapsed="false">
      <c r="A4" s="5" t="s">
        <v>92</v>
      </c>
      <c r="B4" s="25" t="n">
        <v>4</v>
      </c>
      <c r="C4" s="25" t="n">
        <v>5</v>
      </c>
      <c r="D4" s="25" t="n">
        <v>5</v>
      </c>
      <c r="E4" s="25" t="n">
        <v>5</v>
      </c>
      <c r="F4" s="25" t="n">
        <v>4</v>
      </c>
      <c r="G4" s="25" t="n">
        <v>5</v>
      </c>
      <c r="H4" s="25" t="n">
        <v>2</v>
      </c>
      <c r="I4" s="25" t="n">
        <v>1</v>
      </c>
      <c r="J4" s="25" t="n">
        <v>2</v>
      </c>
      <c r="K4" s="30" t="n">
        <f aca="false">G4*((C4+E4)/2)*F4</f>
        <v>100</v>
      </c>
      <c r="L4" s="37" t="n">
        <f aca="false">RANK(K4,$K$4:$K$13)</f>
        <v>2</v>
      </c>
    </row>
    <row r="5" customFormat="false" ht="15" hidden="false" customHeight="true" outlineLevel="0" collapsed="false">
      <c r="A5" s="18" t="s">
        <v>93</v>
      </c>
      <c r="B5" s="38" t="n">
        <v>4</v>
      </c>
      <c r="C5" s="38" t="n">
        <v>4</v>
      </c>
      <c r="D5" s="38" t="n">
        <v>3</v>
      </c>
      <c r="E5" s="38" t="n">
        <v>5</v>
      </c>
      <c r="F5" s="38" t="n">
        <v>3</v>
      </c>
      <c r="G5" s="38" t="n">
        <v>5</v>
      </c>
      <c r="H5" s="38" t="n">
        <v>2</v>
      </c>
      <c r="I5" s="38" t="n">
        <v>3</v>
      </c>
      <c r="J5" s="38" t="n">
        <v>4</v>
      </c>
      <c r="K5" s="33" t="n">
        <f aca="false">G5*((C5+E5)/2)*F5</f>
        <v>67.5</v>
      </c>
      <c r="L5" s="39" t="n">
        <f aca="false">RANK(K5,$K$4:$K$13)</f>
        <v>5</v>
      </c>
    </row>
    <row r="6" customFormat="false" ht="15" hidden="false" customHeight="true" outlineLevel="0" collapsed="false">
      <c r="A6" s="5" t="s">
        <v>94</v>
      </c>
      <c r="B6" s="25" t="n">
        <v>5</v>
      </c>
      <c r="C6" s="25" t="n">
        <v>4</v>
      </c>
      <c r="D6" s="25" t="n">
        <v>2</v>
      </c>
      <c r="E6" s="25" t="n">
        <v>3</v>
      </c>
      <c r="F6" s="25" t="n">
        <v>4</v>
      </c>
      <c r="G6" s="25" t="n">
        <v>4</v>
      </c>
      <c r="H6" s="25" t="n">
        <v>3</v>
      </c>
      <c r="I6" s="25" t="n">
        <v>1</v>
      </c>
      <c r="J6" s="25" t="n">
        <v>2</v>
      </c>
      <c r="K6" s="30" t="n">
        <f aca="false">G6*((C6+E6)/2)*F6</f>
        <v>56</v>
      </c>
      <c r="L6" s="37" t="n">
        <f aca="false">RANK(K6,$K$4:$K$13)</f>
        <v>8</v>
      </c>
    </row>
    <row r="7" customFormat="false" ht="15" hidden="false" customHeight="true" outlineLevel="0" collapsed="false">
      <c r="A7" s="18" t="s">
        <v>95</v>
      </c>
      <c r="B7" s="38" t="n">
        <v>3</v>
      </c>
      <c r="C7" s="38" t="n">
        <v>5</v>
      </c>
      <c r="D7" s="38" t="n">
        <v>4</v>
      </c>
      <c r="E7" s="38" t="n">
        <v>4</v>
      </c>
      <c r="F7" s="38" t="n">
        <v>5</v>
      </c>
      <c r="G7" s="38" t="n">
        <v>4</v>
      </c>
      <c r="H7" s="38" t="n">
        <v>4</v>
      </c>
      <c r="I7" s="38" t="n">
        <v>3</v>
      </c>
      <c r="J7" s="38" t="n">
        <v>3</v>
      </c>
      <c r="K7" s="33" t="n">
        <f aca="false">G7*((C7+E7)/2)*F7</f>
        <v>90</v>
      </c>
      <c r="L7" s="39" t="n">
        <f aca="false">RANK(K7,$K$4:$K$13)</f>
        <v>3</v>
      </c>
    </row>
    <row r="8" customFormat="false" ht="15" hidden="false" customHeight="true" outlineLevel="0" collapsed="false">
      <c r="A8" s="5" t="s">
        <v>96</v>
      </c>
      <c r="B8" s="25" t="n">
        <v>4</v>
      </c>
      <c r="C8" s="25" t="n">
        <v>5</v>
      </c>
      <c r="D8" s="25" t="n">
        <v>3</v>
      </c>
      <c r="E8" s="25" t="n">
        <v>3</v>
      </c>
      <c r="F8" s="25" t="n">
        <v>3</v>
      </c>
      <c r="G8" s="25" t="n">
        <v>5</v>
      </c>
      <c r="H8" s="25" t="n">
        <v>3</v>
      </c>
      <c r="I8" s="25" t="n">
        <v>2</v>
      </c>
      <c r="J8" s="25" t="n">
        <v>3</v>
      </c>
      <c r="K8" s="30" t="n">
        <f aca="false">G8*((C8+E8)/2)*F8</f>
        <v>60</v>
      </c>
      <c r="L8" s="37" t="n">
        <f aca="false">RANK(K8,$K$4:$K$13)</f>
        <v>6</v>
      </c>
    </row>
    <row r="9" customFormat="false" ht="15" hidden="false" customHeight="true" outlineLevel="0" collapsed="false">
      <c r="A9" s="18" t="s">
        <v>97</v>
      </c>
      <c r="B9" s="38" t="n">
        <v>4</v>
      </c>
      <c r="C9" s="38" t="n">
        <v>4</v>
      </c>
      <c r="D9" s="38" t="n">
        <v>5</v>
      </c>
      <c r="E9" s="38" t="n">
        <v>5</v>
      </c>
      <c r="F9" s="38" t="n">
        <v>5</v>
      </c>
      <c r="G9" s="38" t="n">
        <v>5</v>
      </c>
      <c r="H9" s="38" t="n">
        <v>4</v>
      </c>
      <c r="I9" s="38" t="n">
        <v>2</v>
      </c>
      <c r="J9" s="38" t="n">
        <v>2</v>
      </c>
      <c r="K9" s="33" t="n">
        <f aca="false">G9*((C9+E9)/2)*F9</f>
        <v>112.5</v>
      </c>
      <c r="L9" s="39" t="n">
        <f aca="false">RANK(K9,$K$4:$K$13)</f>
        <v>1</v>
      </c>
    </row>
    <row r="10" customFormat="false" ht="15" hidden="false" customHeight="true" outlineLevel="0" collapsed="false">
      <c r="A10" s="5" t="s">
        <v>98</v>
      </c>
      <c r="B10" s="25" t="n">
        <v>5</v>
      </c>
      <c r="C10" s="25" t="n">
        <v>3</v>
      </c>
      <c r="D10" s="25" t="n">
        <v>2</v>
      </c>
      <c r="E10" s="25" t="n">
        <v>3</v>
      </c>
      <c r="F10" s="25" t="n">
        <v>2</v>
      </c>
      <c r="G10" s="25" t="n">
        <v>3</v>
      </c>
      <c r="H10" s="25" t="n">
        <v>3</v>
      </c>
      <c r="I10" s="25" t="n">
        <v>1</v>
      </c>
      <c r="J10" s="25" t="n">
        <v>2</v>
      </c>
      <c r="K10" s="30" t="n">
        <f aca="false">G10*((C10+E10)/2)*F10</f>
        <v>18</v>
      </c>
      <c r="L10" s="37" t="n">
        <f aca="false">RANK(K10,$K$4:$K$13)</f>
        <v>9</v>
      </c>
    </row>
    <row r="11" customFormat="false" ht="15" hidden="false" customHeight="true" outlineLevel="0" collapsed="false">
      <c r="A11" s="18" t="s">
        <v>99</v>
      </c>
      <c r="B11" s="38" t="n">
        <v>4</v>
      </c>
      <c r="C11" s="38" t="n">
        <v>3</v>
      </c>
      <c r="D11" s="38" t="n">
        <v>1</v>
      </c>
      <c r="E11" s="38" t="n">
        <v>3</v>
      </c>
      <c r="F11" s="38" t="n">
        <v>1</v>
      </c>
      <c r="G11" s="38" t="n">
        <v>2</v>
      </c>
      <c r="H11" s="38" t="n">
        <v>3</v>
      </c>
      <c r="I11" s="38" t="n">
        <v>4</v>
      </c>
      <c r="J11" s="38" t="n">
        <v>4</v>
      </c>
      <c r="K11" s="33" t="n">
        <f aca="false">G11*((C11+E11)/2)*F11</f>
        <v>6</v>
      </c>
      <c r="L11" s="39" t="n">
        <f aca="false">RANK(K11,$K$4:$K$13)</f>
        <v>10</v>
      </c>
    </row>
    <row r="12" customFormat="false" ht="15" hidden="false" customHeight="true" outlineLevel="0" collapsed="false">
      <c r="A12" s="5" t="s">
        <v>100</v>
      </c>
      <c r="B12" s="25" t="n">
        <v>3</v>
      </c>
      <c r="C12" s="25" t="n">
        <v>4</v>
      </c>
      <c r="D12" s="25" t="n">
        <v>5</v>
      </c>
      <c r="E12" s="25" t="n">
        <v>5</v>
      </c>
      <c r="F12" s="25" t="n">
        <v>5</v>
      </c>
      <c r="G12" s="25" t="n">
        <v>4</v>
      </c>
      <c r="H12" s="25" t="n">
        <v>4</v>
      </c>
      <c r="I12" s="25" t="n">
        <v>3</v>
      </c>
      <c r="J12" s="25" t="n">
        <v>3</v>
      </c>
      <c r="K12" s="30" t="n">
        <f aca="false">G12*((C12+E12)/2)*F12</f>
        <v>90</v>
      </c>
      <c r="L12" s="37" t="n">
        <f aca="false">RANK(K12,$K$4:$K$13)</f>
        <v>3</v>
      </c>
    </row>
    <row r="13" customFormat="false" ht="15" hidden="false" customHeight="true" outlineLevel="0" collapsed="false">
      <c r="A13" s="18" t="s">
        <v>101</v>
      </c>
      <c r="B13" s="38" t="n">
        <v>3</v>
      </c>
      <c r="C13" s="38" t="n">
        <v>3</v>
      </c>
      <c r="D13" s="38" t="n">
        <v>5</v>
      </c>
      <c r="E13" s="38" t="n">
        <v>5</v>
      </c>
      <c r="F13" s="38" t="n">
        <v>5</v>
      </c>
      <c r="G13" s="38" t="n">
        <v>3</v>
      </c>
      <c r="H13" s="38" t="n">
        <v>4</v>
      </c>
      <c r="I13" s="38" t="n">
        <v>1</v>
      </c>
      <c r="J13" s="38" t="n">
        <v>2</v>
      </c>
      <c r="K13" s="33" t="n">
        <f aca="false">G13*((C13+E13)/2)*F13</f>
        <v>60</v>
      </c>
      <c r="L13" s="39" t="n">
        <f aca="false">RANK(K13,$K$4:$K$13)</f>
        <v>6</v>
      </c>
    </row>
    <row r="15" customFormat="false" ht="33.75" hidden="false" customHeight="true" outlineLevel="0" collapsed="false">
      <c r="A15" s="29" t="s">
        <v>367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</sheetData>
  <mergeCells count="1"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368</v>
      </c>
    </row>
    <row r="2" customFormat="false" ht="15" hidden="false" customHeight="true" outlineLevel="0" collapsed="false">
      <c r="A2" s="3" t="s">
        <v>369</v>
      </c>
    </row>
    <row r="4" customFormat="false" ht="15" hidden="false" customHeight="true" outlineLevel="0" collapsed="false">
      <c r="A4" s="4" t="s">
        <v>370</v>
      </c>
    </row>
    <row r="5" customFormat="false" ht="15" hidden="false" customHeight="true" outlineLevel="0" collapsed="false">
      <c r="A5" s="8"/>
      <c r="B5" s="9"/>
      <c r="C5" s="9" t="s">
        <v>36</v>
      </c>
      <c r="D5" s="9" t="s">
        <v>38</v>
      </c>
      <c r="E5" s="9" t="s">
        <v>40</v>
      </c>
      <c r="F5" s="9" t="s">
        <v>41</v>
      </c>
      <c r="G5" s="9" t="s">
        <v>42</v>
      </c>
    </row>
    <row r="6" customFormat="false" ht="15" hidden="false" customHeight="true" outlineLevel="0" collapsed="false">
      <c r="A6" s="5" t="s">
        <v>371</v>
      </c>
      <c r="C6" s="24" t="n">
        <f aca="false">SUMIFS(Revenue!$D$4:$D$38,Revenue!$J$4:$J$38,"VAACA")</f>
        <v>158875000</v>
      </c>
      <c r="D6" s="24" t="n">
        <f aca="false">SUMIFS(Revenue!$E$4:$E$38,Revenue!$J$4:$J$38,"VAACA")</f>
        <v>342125000</v>
      </c>
      <c r="E6" s="24" t="n">
        <f aca="false">SUMIFS(Revenue!$F$4:$F$38,Revenue!$J$4:$J$38,"VAACA")</f>
        <v>686125000</v>
      </c>
      <c r="F6" s="24" t="n">
        <f aca="false">SUMIFS(Revenue!$G$4:$G$38,Revenue!$J$4:$J$38,"VAACA")</f>
        <v>1154900000</v>
      </c>
      <c r="G6" s="24" t="n">
        <f aca="false">SUMIFS(Revenue!$H$4:$H$38,Revenue!$J$4:$J$38,"VAACA")</f>
        <v>1739750000</v>
      </c>
    </row>
    <row r="7" customFormat="false" ht="15" hidden="false" customHeight="true" outlineLevel="0" collapsed="false">
      <c r="A7" s="5" t="s">
        <v>372</v>
      </c>
      <c r="C7" s="24" t="n">
        <f aca="false">SUMIFS(Revenue!$D$4:$D$38,Revenue!$J$4:$J$38,"IAFN")</f>
        <v>90000000</v>
      </c>
      <c r="D7" s="24" t="n">
        <f aca="false">SUMIFS(Revenue!$E$4:$E$38,Revenue!$J$4:$J$38,"IAFN")</f>
        <v>190000000</v>
      </c>
      <c r="E7" s="24" t="n">
        <f aca="false">SUMIFS(Revenue!$F$4:$F$38,Revenue!$J$4:$J$38,"IAFN")</f>
        <v>372850000</v>
      </c>
      <c r="F7" s="24" t="n">
        <f aca="false">SUMIFS(Revenue!$G$4:$G$38,Revenue!$J$4:$J$38,"IAFN")</f>
        <v>663350000</v>
      </c>
      <c r="G7" s="24" t="n">
        <f aca="false">SUMIFS(Revenue!$H$4:$H$38,Revenue!$J$4:$J$38,"IAFN")</f>
        <v>902000000</v>
      </c>
    </row>
    <row r="8" customFormat="false" ht="15" hidden="false" customHeight="true" outlineLevel="0" collapsed="false">
      <c r="A8" s="6" t="s">
        <v>373</v>
      </c>
      <c r="C8" s="27" t="n">
        <f aca="false">C6+C7</f>
        <v>248875000</v>
      </c>
      <c r="D8" s="27" t="n">
        <f aca="false">D6+D7</f>
        <v>532125000</v>
      </c>
      <c r="E8" s="27" t="n">
        <f aca="false">E6+E7</f>
        <v>1058975000</v>
      </c>
      <c r="F8" s="27" t="n">
        <f aca="false">F6+F7</f>
        <v>1818250000</v>
      </c>
      <c r="G8" s="27" t="n">
        <f aca="false">G6+G7</f>
        <v>2641750000</v>
      </c>
    </row>
    <row r="9" customFormat="false" ht="15" hidden="false" customHeight="true" outlineLevel="0" collapsed="false">
      <c r="A9" s="5" t="s">
        <v>374</v>
      </c>
      <c r="C9" s="17" t="n">
        <f aca="false">IF(C8=0,0,C7/C8)</f>
        <v>0.36162732295329</v>
      </c>
      <c r="D9" s="17" t="n">
        <f aca="false">IF(D8=0,0,D7/D8)</f>
        <v>0.357058961710125</v>
      </c>
      <c r="E9" s="17" t="n">
        <f aca="false">IF(E8=0,0,E7/E8)</f>
        <v>0.352085743289502</v>
      </c>
      <c r="F9" s="17" t="n">
        <f aca="false">IF(F8=0,0,F7/F8)</f>
        <v>0.364828818919291</v>
      </c>
      <c r="G9" s="17" t="n">
        <f aca="false">IF(G8=0,0,G7/G8)</f>
        <v>0.34144033311252</v>
      </c>
    </row>
    <row r="12" customFormat="false" ht="15" hidden="false" customHeight="true" outlineLevel="0" collapsed="false">
      <c r="A12" s="4" t="s">
        <v>375</v>
      </c>
    </row>
    <row r="13" customFormat="false" ht="27.75" hidden="false" customHeight="true" outlineLevel="0" collapsed="false">
      <c r="A13" s="29" t="s">
        <v>376</v>
      </c>
      <c r="B13" s="29"/>
      <c r="C13" s="29"/>
      <c r="D13" s="29"/>
      <c r="E13" s="29"/>
      <c r="F13" s="29"/>
      <c r="G13" s="29"/>
      <c r="H13" s="29"/>
    </row>
    <row r="15" customFormat="false" ht="15" hidden="false" customHeight="true" outlineLevel="0" collapsed="false">
      <c r="A15" s="8"/>
      <c r="B15" s="9"/>
      <c r="C15" s="9" t="s">
        <v>36</v>
      </c>
      <c r="D15" s="9" t="s">
        <v>38</v>
      </c>
      <c r="E15" s="9" t="s">
        <v>40</v>
      </c>
      <c r="F15" s="9" t="s">
        <v>41</v>
      </c>
      <c r="G15" s="9" t="s">
        <v>42</v>
      </c>
    </row>
    <row r="16" customFormat="false" ht="15" hidden="false" customHeight="true" outlineLevel="0" collapsed="false">
      <c r="A16" s="5" t="s">
        <v>377</v>
      </c>
      <c r="C16" s="16" t="n">
        <v>0.12</v>
      </c>
      <c r="D16" s="16" t="n">
        <v>0.12</v>
      </c>
      <c r="E16" s="16" t="n">
        <v>0.12</v>
      </c>
      <c r="F16" s="16" t="n">
        <v>0.12</v>
      </c>
      <c r="G16" s="16" t="n">
        <v>0.12</v>
      </c>
    </row>
    <row r="17" customFormat="false" ht="15" hidden="false" customHeight="true" outlineLevel="0" collapsed="false">
      <c r="A17" s="5" t="s">
        <v>378</v>
      </c>
      <c r="C17" s="21" t="n">
        <f aca="false">C7*C16</f>
        <v>10800000</v>
      </c>
      <c r="D17" s="21" t="n">
        <f aca="false">D7*D16</f>
        <v>22800000</v>
      </c>
      <c r="E17" s="21" t="n">
        <f aca="false">E7*E16</f>
        <v>44742000</v>
      </c>
      <c r="F17" s="21" t="n">
        <f aca="false">F7*F16</f>
        <v>79602000</v>
      </c>
      <c r="G17" s="21" t="n">
        <f aca="false">G7*G16</f>
        <v>108240000</v>
      </c>
    </row>
    <row r="18" customFormat="false" ht="15" hidden="false" customHeight="true" outlineLevel="0" collapsed="false">
      <c r="A18" s="6" t="s">
        <v>379</v>
      </c>
      <c r="C18" s="27" t="n">
        <f aca="false">C6+C17</f>
        <v>169675000</v>
      </c>
      <c r="D18" s="27" t="n">
        <f aca="false">D6+D17</f>
        <v>364925000</v>
      </c>
      <c r="E18" s="27" t="n">
        <f aca="false">E6+E17</f>
        <v>730867000</v>
      </c>
      <c r="F18" s="27" t="n">
        <f aca="false">F6+F17</f>
        <v>1234502000</v>
      </c>
      <c r="G18" s="27" t="n">
        <f aca="false">G6+G17</f>
        <v>1847990000</v>
      </c>
    </row>
    <row r="21" customFormat="false" ht="15" hidden="false" customHeight="true" outlineLevel="0" collapsed="false">
      <c r="A21" s="4" t="s">
        <v>380</v>
      </c>
    </row>
    <row r="22" customFormat="false" ht="15" hidden="false" customHeight="true" outlineLevel="0" collapsed="false">
      <c r="A22" s="8"/>
      <c r="B22" s="9"/>
      <c r="C22" s="9" t="s">
        <v>36</v>
      </c>
      <c r="D22" s="9" t="s">
        <v>38</v>
      </c>
      <c r="E22" s="9" t="s">
        <v>40</v>
      </c>
      <c r="F22" s="9" t="s">
        <v>41</v>
      </c>
      <c r="G22" s="9" t="s">
        <v>42</v>
      </c>
    </row>
    <row r="23" customFormat="false" ht="15" hidden="false" customHeight="true" outlineLevel="0" collapsed="false">
      <c r="A23" s="6" t="s">
        <v>381</v>
      </c>
      <c r="C23" s="27" t="n">
        <f aca="false">C18</f>
        <v>169675000</v>
      </c>
      <c r="D23" s="27" t="n">
        <f aca="false">D18</f>
        <v>364925000</v>
      </c>
      <c r="E23" s="27" t="n">
        <f aca="false">E18</f>
        <v>730867000</v>
      </c>
      <c r="F23" s="27" t="n">
        <f aca="false">F18</f>
        <v>1234502000</v>
      </c>
      <c r="G23" s="27" t="n">
        <f aca="false">G18</f>
        <v>1847990000</v>
      </c>
    </row>
    <row r="24" customFormat="false" ht="15" hidden="false" customHeight="true" outlineLevel="0" collapsed="false">
      <c r="A24" s="5" t="s">
        <v>382</v>
      </c>
      <c r="C24" s="21" t="n">
        <f aca="false">-(Costs!C$7+Costs!C$9)</f>
        <v>-27450000</v>
      </c>
      <c r="D24" s="21" t="n">
        <f aca="false">-(Costs!D$7+Costs!D$9)</f>
        <v>-51090000</v>
      </c>
      <c r="E24" s="21" t="n">
        <f aca="false">-(Costs!E$7+Costs!E$9)</f>
        <v>-92370000</v>
      </c>
      <c r="F24" s="21" t="n">
        <f aca="false">-(Costs!F$7+Costs!F$9)</f>
        <v>-146504000</v>
      </c>
      <c r="G24" s="21" t="n">
        <f aca="false">-(Costs!G$7+Costs!G$9)</f>
        <v>-217920000</v>
      </c>
    </row>
    <row r="25" customFormat="false" ht="15" hidden="false" customHeight="true" outlineLevel="0" collapsed="false">
      <c r="A25" s="5" t="s">
        <v>267</v>
      </c>
      <c r="C25" s="21" t="n">
        <f aca="false">-SUMIFS(Staffing!$I$4:$I$15,Staffing!$O$4:$O$15,"VAACA")</f>
        <v>-95160000</v>
      </c>
      <c r="D25" s="21" t="n">
        <f aca="false">-SUMIFS(Staffing!$J$4:$J$15,Staffing!$O$4:$O$15,"VAACA")</f>
        <v>-163968000</v>
      </c>
      <c r="E25" s="21" t="n">
        <f aca="false">-SUMIFS(Staffing!$K$4:$K$15,Staffing!$O$4:$O$15,"VAACA")</f>
        <v>-259128000</v>
      </c>
      <c r="F25" s="21" t="n">
        <f aca="false">-SUMIFS(Staffing!$L$4:$L$15,Staffing!$O$4:$O$15,"VAACA")</f>
        <v>-366000000</v>
      </c>
      <c r="G25" s="21" t="n">
        <f aca="false">-SUMIFS(Staffing!$M$4:$M$15,Staffing!$O$4:$O$15,"VAACA")</f>
        <v>-490440000</v>
      </c>
    </row>
    <row r="26" customFormat="false" ht="15" hidden="false" customHeight="true" outlineLevel="0" collapsed="false">
      <c r="A26" s="5" t="s">
        <v>283</v>
      </c>
      <c r="C26" s="21" t="n">
        <f aca="false">-(Costs!C$17-Costs!C$18-Costs!C$4)</f>
        <v>-103421250</v>
      </c>
      <c r="D26" s="21" t="n">
        <f aca="false">-(Costs!D$17-Costs!D$18-Costs!D$4)</f>
        <v>-185248750</v>
      </c>
      <c r="E26" s="21" t="n">
        <f aca="false">-(Costs!E$17-Costs!E$18-Costs!E$4)</f>
        <v>-301538500</v>
      </c>
      <c r="F26" s="21" t="n">
        <f aca="false">-(Costs!F$17-Costs!F$18-Costs!F$4)</f>
        <v>-442095000</v>
      </c>
      <c r="G26" s="21" t="n">
        <f aca="false">-(Costs!G$17-Costs!G$18-Costs!G$4)</f>
        <v>-552087500</v>
      </c>
    </row>
    <row r="27" customFormat="false" ht="15" hidden="false" customHeight="true" outlineLevel="0" collapsed="false">
      <c r="A27" s="6" t="s">
        <v>284</v>
      </c>
      <c r="C27" s="27" t="n">
        <f aca="false">SUM(C23:C26)</f>
        <v>-56356250</v>
      </c>
      <c r="D27" s="27" t="n">
        <f aca="false">SUM(D23:D26)</f>
        <v>-35381750</v>
      </c>
      <c r="E27" s="27" t="n">
        <f aca="false">SUM(E23:E26)</f>
        <v>77830500</v>
      </c>
      <c r="F27" s="27" t="n">
        <f aca="false">SUM(F23:F26)</f>
        <v>279903000</v>
      </c>
      <c r="G27" s="27" t="n">
        <f aca="false">SUM(G23:G26)</f>
        <v>587542500</v>
      </c>
    </row>
    <row r="28" customFormat="false" ht="15" hidden="false" customHeight="true" outlineLevel="0" collapsed="false">
      <c r="A28" s="5" t="s">
        <v>285</v>
      </c>
      <c r="C28" s="17" t="n">
        <f aca="false">IF(C23=0,0,C27/C23)</f>
        <v>-0.332142330926772</v>
      </c>
      <c r="D28" s="17" t="n">
        <f aca="false">IF(D23=0,0,D27/D23)</f>
        <v>-0.0969562238816195</v>
      </c>
      <c r="E28" s="17" t="n">
        <f aca="false">IF(E23=0,0,E27/E23)</f>
        <v>0.106490647409173</v>
      </c>
      <c r="F28" s="17" t="n">
        <f aca="false">IF(F23=0,0,F27/F23)</f>
        <v>0.226733533035993</v>
      </c>
      <c r="G28" s="17" t="n">
        <f aca="false">IF(G23=0,0,G27/G23)</f>
        <v>0.317935973679511</v>
      </c>
    </row>
    <row r="29" customFormat="false" ht="15" hidden="false" customHeight="false" outlineLevel="0" collapsed="false">
      <c r="A29" s="40" t="s">
        <v>383</v>
      </c>
      <c r="C29" s="41" t="n">
        <f aca="false">C27</f>
        <v>-56356250</v>
      </c>
      <c r="D29" s="41" t="n">
        <f aca="false">C29+D27</f>
        <v>-91738000</v>
      </c>
      <c r="E29" s="41" t="n">
        <f aca="false">D29+E27</f>
        <v>-13907500</v>
      </c>
      <c r="F29" s="41" t="n">
        <f aca="false">E29+F27</f>
        <v>265995500</v>
      </c>
      <c r="G29" s="41" t="n">
        <f aca="false">F29+G27</f>
        <v>853538000</v>
      </c>
    </row>
    <row r="31" customFormat="false" ht="15" hidden="false" customHeight="true" outlineLevel="0" collapsed="false">
      <c r="A31" s="4" t="s">
        <v>384</v>
      </c>
    </row>
    <row r="32" customFormat="false" ht="27.75" hidden="false" customHeight="true" outlineLevel="0" collapsed="false">
      <c r="A32" s="29" t="s">
        <v>385</v>
      </c>
      <c r="B32" s="29"/>
      <c r="C32" s="29"/>
      <c r="D32" s="29"/>
      <c r="E32" s="29"/>
      <c r="F32" s="29"/>
      <c r="G32" s="29"/>
      <c r="H32" s="29"/>
    </row>
    <row r="34" customFormat="false" ht="15" hidden="false" customHeight="true" outlineLevel="0" collapsed="false">
      <c r="A34" s="8"/>
      <c r="B34" s="9"/>
      <c r="C34" s="9" t="s">
        <v>36</v>
      </c>
      <c r="D34" s="9" t="s">
        <v>38</v>
      </c>
      <c r="E34" s="9" t="s">
        <v>40</v>
      </c>
      <c r="F34" s="9" t="s">
        <v>41</v>
      </c>
      <c r="G34" s="9" t="s">
        <v>42</v>
      </c>
    </row>
    <row r="35" customFormat="false" ht="15" hidden="false" customHeight="true" outlineLevel="0" collapsed="false">
      <c r="A35" s="5" t="s">
        <v>386</v>
      </c>
      <c r="C35" s="17" t="n">
        <f aca="false">IF(C18=0,0,C17/C18)</f>
        <v>0.0636510976867541</v>
      </c>
      <c r="D35" s="17" t="n">
        <f aca="false">IF(D18=0,0,D17/D18)</f>
        <v>0.0624785914914023</v>
      </c>
      <c r="E35" s="17" t="n">
        <f aca="false">IF(E18=0,0,E17/E18)</f>
        <v>0.0612177044523833</v>
      </c>
      <c r="F35" s="17" t="n">
        <f aca="false">IF(F18=0,0,F17/F18)</f>
        <v>0.0644810619990895</v>
      </c>
      <c r="G35" s="17" t="n">
        <f aca="false">IF(G18=0,0,G17/G18)</f>
        <v>0.0585717455181035</v>
      </c>
    </row>
    <row r="36" customFormat="false" ht="15" hidden="false" customHeight="true" outlineLevel="0" collapsed="false">
      <c r="A36" s="6" t="s">
        <v>346</v>
      </c>
      <c r="C36" s="35" t="str">
        <f aca="false">IF(C35&lt;=0.15,"Yes","NO")</f>
        <v>Yes</v>
      </c>
      <c r="D36" s="35" t="str">
        <f aca="false">IF(D35&lt;=0.15,"Yes","NO")</f>
        <v>Yes</v>
      </c>
      <c r="E36" s="35" t="str">
        <f aca="false">IF(E35&lt;=0.15,"Yes","NO")</f>
        <v>Yes</v>
      </c>
      <c r="F36" s="35" t="str">
        <f aca="false">IF(F35&lt;=0.15,"Yes","NO")</f>
        <v>Yes</v>
      </c>
      <c r="G36" s="35" t="str">
        <f aca="false">IF(G35&lt;=0.15,"Yes","NO")</f>
        <v>Yes</v>
      </c>
    </row>
    <row r="38" customFormat="false" ht="43.5" hidden="false" customHeight="true" outlineLevel="0" collapsed="false">
      <c r="A38" s="29" t="s">
        <v>387</v>
      </c>
      <c r="B38" s="29"/>
      <c r="C38" s="29"/>
      <c r="D38" s="29"/>
      <c r="E38" s="29"/>
      <c r="F38" s="29"/>
      <c r="G38" s="29"/>
      <c r="H38" s="29"/>
    </row>
    <row r="41" customFormat="false" ht="15" hidden="false" customHeight="false" outlineLevel="0" collapsed="false">
      <c r="A41" s="42" t="s">
        <v>388</v>
      </c>
    </row>
    <row r="42" customFormat="false" ht="15" hidden="false" customHeight="false" outlineLevel="0" collapsed="false">
      <c r="A42" s="43" t="s">
        <v>389</v>
      </c>
      <c r="C42" s="44" t="n">
        <f aca="false">MIN(C29:G29)</f>
        <v>-91738000</v>
      </c>
      <c r="E42" s="45" t="s">
        <v>390</v>
      </c>
    </row>
    <row r="43" customFormat="false" ht="15" hidden="false" customHeight="false" outlineLevel="0" collapsed="false">
      <c r="A43" s="40" t="s">
        <v>391</v>
      </c>
      <c r="C43" s="41" t="n">
        <f aca="false">IFERROR(MATCH(TRUE(),INDEX(C27:G27&gt;0,0),0),0)</f>
        <v>3</v>
      </c>
    </row>
    <row r="45" customFormat="false" ht="15" hidden="false" customHeight="false" outlineLevel="0" collapsed="false">
      <c r="A45" s="40" t="s">
        <v>392</v>
      </c>
      <c r="C45" s="46" t="n">
        <f aca="false">IF(D7=0,0,(-D24-D25-D26-D6)/D7)</f>
        <v>0.306219736842105</v>
      </c>
      <c r="E45" s="45" t="s">
        <v>393</v>
      </c>
    </row>
    <row r="47" customFormat="false" ht="57.75" hidden="false" customHeight="true" outlineLevel="0" collapsed="false">
      <c r="A47" s="29" t="s">
        <v>394</v>
      </c>
      <c r="B47" s="29"/>
      <c r="C47" s="29"/>
      <c r="D47" s="29"/>
      <c r="E47" s="29"/>
      <c r="F47" s="29"/>
      <c r="G47" s="29"/>
      <c r="H47" s="29"/>
    </row>
  </sheetData>
  <mergeCells count="4">
    <mergeCell ref="A13:H13"/>
    <mergeCell ref="A32:H32"/>
    <mergeCell ref="A38:H38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2026-10-05T10:19:36Z</dcterms:created>
  <dc:creator>openpyxl</dc:creator>
  <dc:description/>
  <dc:language>en-IN</dc:language>
  <cp:lastModifiedBy/>
  <dcterms:modified xsi:type="dcterms:W3CDTF">2026-10-05T18:19:18Z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